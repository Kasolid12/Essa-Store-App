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3" activeTab="3" autoFilterDateGrouping="1"/>
  </bookViews>
  <sheets>
    <sheet name="Dashboard" sheetId="1" state="visible" r:id="rId1"/>
    <sheet name="Hasil_Cutting" sheetId="2" state="visible" r:id="rId2"/>
    <sheet name="Distribusi_Cutting" sheetId="3" state="visible" r:id="rId3"/>
    <sheet name="Modal_Hutang" sheetId="4" state="visible" r:id="rId4"/>
    <sheet name="Modal_Operasional" sheetId="5" state="visible" r:id="rId5"/>
    <sheet name="Pengeluaran_Barang_Offline" sheetId="6" state="visible" r:id="rId6"/>
    <sheet name="Barang_Terhutang" sheetId="7" state="visible" r:id="rId7"/>
    <sheet name="SKU_Tunggal" sheetId="8" state="visible" r:id="rId8"/>
    <sheet name="SKU_Induk" sheetId="9" state="visible" r:id="rId9"/>
    <sheet name="Riwayat_Pelunasan" sheetId="10" state="visible" r:id="rId10"/>
  </sheets>
  <definedNames>
    <definedName name="_xlnm._FilterDatabase" localSheetId="3" hidden="1">'Modal_Hutang'!$A$1:$G$16</definedName>
    <definedName name="_xlnm._FilterDatabase" localSheetId="5" hidden="1">'Pengeluaran_Barang_Offline'!$A$1:$G$31</definedName>
    <definedName name="_xlnm._FilterDatabase" localSheetId="6" hidden="1">'Barang_Terhutang'!$A$1:$G$179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yy;@"/>
    <numFmt numFmtId="165" formatCode="&quot;Rp&quot;#,##0"/>
    <numFmt numFmtId="166" formatCode="#,##0;\(#,##0\);&quot;--&quot;"/>
    <numFmt numFmtId="167" formatCode="yyyy\-mm\-dd;@"/>
  </numFmts>
  <fonts count="10">
    <font>
      <name val="Aptos Narrow"/>
      <charset val="1"/>
      <family val="2"/>
      <color theme="1"/>
      <sz val="11"/>
      <scheme val="minor"/>
    </font>
    <font>
      <name val="Aptos Narrow"/>
      <charset val="1"/>
      <family val="2"/>
      <color theme="1"/>
      <sz val="11"/>
      <scheme val="minor"/>
    </font>
    <font>
      <name val="Aptos Narrow"/>
      <charset val="1"/>
      <family val="2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Calibri"/>
      <family val="2"/>
      <color indexed="8"/>
      <sz val="11"/>
    </font>
    <font>
      <name val="Arial"/>
      <family val="2"/>
      <color indexed="8"/>
      <sz val="10"/>
    </font>
    <font>
      <name val="Arial"/>
      <family val="2"/>
      <b val="1"/>
      <color theme="0"/>
      <sz val="11"/>
    </font>
    <font>
      <name val="Arial"/>
      <family val="2"/>
      <color theme="1"/>
      <sz val="11"/>
    </font>
    <font>
      <name val="Aptos Narrow"/>
      <family val="2"/>
      <b val="1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1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</borders>
  <cellStyleXfs count="5">
    <xf numFmtId="0" fontId="1" fillId="0" borderId="0"/>
    <xf numFmtId="0" fontId="2" fillId="2" borderId="0"/>
    <xf numFmtId="0" fontId="1" fillId="3" borderId="0"/>
    <xf numFmtId="0" fontId="1" fillId="4" borderId="0"/>
    <xf numFmtId="0" fontId="5" fillId="0" borderId="0"/>
  </cellStyleXfs>
  <cellXfs count="39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9" fontId="0" fillId="0" borderId="1" pivotButton="0" quotePrefix="0" xfId="0"/>
    <xf numFmtId="1" fontId="0" fillId="0" borderId="1" pivotButton="0" quotePrefix="0" xfId="0"/>
    <xf numFmtId="164" fontId="4" fillId="2" borderId="1" applyAlignment="1" pivotButton="0" quotePrefix="0" xfId="1">
      <alignment horizontal="center"/>
    </xf>
    <xf numFmtId="49" fontId="4" fillId="2" borderId="1" applyAlignment="1" pivotButton="0" quotePrefix="0" xfId="1">
      <alignment horizontal="center"/>
    </xf>
    <xf numFmtId="1" fontId="4" fillId="2" borderId="1" applyAlignment="1" pivotButton="0" quotePrefix="0" xfId="1">
      <alignment horizontal="center"/>
    </xf>
    <xf numFmtId="165" fontId="0" fillId="0" borderId="1" pivotButton="0" quotePrefix="0" xfId="0"/>
    <xf numFmtId="165" fontId="4" fillId="2" borderId="1" applyAlignment="1" pivotButton="0" quotePrefix="0" xfId="1">
      <alignment horizontal="center"/>
    </xf>
    <xf numFmtId="0" fontId="4" fillId="2" borderId="1" pivotButton="0" quotePrefix="0" xfId="1"/>
    <xf numFmtId="49" fontId="6" fillId="5" borderId="2" applyAlignment="1" pivotButton="0" quotePrefix="0" xfId="4">
      <alignment vertical="center" wrapText="1"/>
    </xf>
    <xf numFmtId="49" fontId="4" fillId="2" borderId="2" applyAlignment="1" pivotButton="0" quotePrefix="0" xfId="1">
      <alignment horizontal="center"/>
    </xf>
    <xf numFmtId="0" fontId="0" fillId="0" borderId="2" pivotButton="0" quotePrefix="0" xfId="0"/>
    <xf numFmtId="0" fontId="2" fillId="2" borderId="2" pivotButton="0" quotePrefix="0" xfId="1"/>
    <xf numFmtId="0" fontId="0" fillId="0" borderId="3" pivotButton="0" quotePrefix="0" xfId="0"/>
    <xf numFmtId="166" fontId="1" fillId="4" borderId="3" pivotButton="0" quotePrefix="0" xfId="3"/>
    <xf numFmtId="0" fontId="1" fillId="4" borderId="0" pivotButton="0" quotePrefix="0" xfId="3"/>
    <xf numFmtId="0" fontId="0" fillId="0" borderId="0" applyAlignment="1" pivotButton="0" quotePrefix="0" xfId="0">
      <alignment horizontal="center"/>
    </xf>
    <xf numFmtId="1" fontId="1" fillId="4" borderId="3" pivotButton="0" quotePrefix="0" xfId="3"/>
    <xf numFmtId="1" fontId="1" fillId="4" borderId="0" pivotButton="0" quotePrefix="0" xfId="3"/>
    <xf numFmtId="0" fontId="1" fillId="3" borderId="2" applyAlignment="1" pivotButton="0" quotePrefix="0" xfId="2">
      <alignment horizontal="center"/>
    </xf>
    <xf numFmtId="165" fontId="0" fillId="0" borderId="0" pivotButton="0" quotePrefix="0" xfId="0"/>
    <xf numFmtId="165" fontId="7" fillId="2" borderId="1" applyAlignment="1" pivotButton="0" quotePrefix="0" xfId="1">
      <alignment horizontal="center"/>
    </xf>
    <xf numFmtId="165" fontId="8" fillId="0" borderId="1" pivotButton="0" quotePrefix="0" xfId="0"/>
    <xf numFmtId="0" fontId="8" fillId="0" borderId="1" pivotButton="0" quotePrefix="0" xfId="0"/>
    <xf numFmtId="3" fontId="4" fillId="2" borderId="1" applyAlignment="1" pivotButton="0" quotePrefix="0" xfId="1">
      <alignment horizontal="center"/>
    </xf>
    <xf numFmtId="3" fontId="0" fillId="0" borderId="0" pivotButton="0" quotePrefix="0" xfId="0"/>
    <xf numFmtId="3" fontId="0" fillId="0" borderId="1" pivotButton="0" quotePrefix="0" xfId="0"/>
    <xf numFmtId="0" fontId="9" fillId="2" borderId="0" pivotButton="0" quotePrefix="0" xfId="1"/>
    <xf numFmtId="14" fontId="0" fillId="0" borderId="0" pivotButton="0" quotePrefix="0" xfId="0"/>
    <xf numFmtId="165" fontId="4" fillId="2" borderId="1" pivotButton="0" quotePrefix="0" xfId="1"/>
    <xf numFmtId="167" fontId="4" fillId="2" borderId="1" pivotButton="0" quotePrefix="0" xfId="1"/>
    <xf numFmtId="167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2" fillId="2" borderId="4" applyAlignment="1" pivotButton="0" quotePrefix="0" xfId="1">
      <alignment horizontal="center"/>
    </xf>
    <xf numFmtId="0" fontId="0" fillId="0" borderId="5" pivotButton="0" quotePrefix="0" xfId="0"/>
    <xf numFmtId="0" fontId="2" fillId="2" borderId="4" applyAlignment="1" pivotButton="0" quotePrefix="0" xfId="1">
      <alignment horizontal="left"/>
    </xf>
  </cellXfs>
  <cellStyles count="5">
    <cellStyle name="Normal" xfId="0" builtinId="0"/>
    <cellStyle name="Accent1" xfId="1" builtinId="29"/>
    <cellStyle name="20% - Accent1" xfId="2" builtinId="30"/>
    <cellStyle name="40% - Accent1" xfId="3" builtinId="31"/>
    <cellStyle name="Normal 2" xfId="4"/>
  </cellStyles>
  <dxfs count="8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E7" sqref="E7"/>
    </sheetView>
  </sheetViews>
  <sheetFormatPr baseColWidth="8" defaultRowHeight="15"/>
  <cols>
    <col width="37" customWidth="1" style="35" min="1" max="1"/>
    <col width="36.5703125" customWidth="1" style="35" min="3" max="3"/>
    <col width="19" customWidth="1" style="13" min="5" max="5"/>
    <col width="9.140625" customWidth="1" style="13" min="6" max="6"/>
    <col width="19.85546875" customWidth="1" style="13" min="8" max="8"/>
    <col width="14.42578125" customWidth="1" style="13" min="9" max="9"/>
  </cols>
  <sheetData>
    <row r="1" ht="15" customHeight="1" s="35">
      <c r="A1" s="34" t="inlineStr">
        <is>
          <t>DASHBOARD DATA</t>
        </is>
      </c>
    </row>
    <row r="3">
      <c r="A3" s="14" t="inlineStr">
        <is>
          <t>Total Hasil Cutting</t>
        </is>
      </c>
      <c r="C3" s="14" t="inlineStr">
        <is>
          <t>Total Pesanan Offline Sudah Bayar</t>
        </is>
      </c>
      <c r="E3" s="36" t="inlineStr">
        <is>
          <t>Total Hasil Jahit/SKU</t>
        </is>
      </c>
      <c r="F3" s="37" t="n"/>
      <c r="H3" s="38" t="inlineStr">
        <is>
          <t>Total Pengeluaran Barang Offline/SKU</t>
        </is>
      </c>
      <c r="I3" s="37" t="n"/>
    </row>
    <row r="4">
      <c r="A4" s="19">
        <f>SUM(Hasil_Cutting!C:C)</f>
        <v/>
      </c>
      <c r="C4" s="20">
        <f>COUNTIF(Pengeluaran_Barang_Offline!G:G,TRUE)</f>
        <v/>
      </c>
      <c r="E4" s="21" t="inlineStr">
        <is>
          <t>SKU</t>
        </is>
      </c>
      <c r="F4" s="21" t="inlineStr">
        <is>
          <t>JUMLAH</t>
        </is>
      </c>
      <c r="H4" s="21" t="inlineStr">
        <is>
          <t>SKU</t>
        </is>
      </c>
      <c r="I4" s="21" t="inlineStr">
        <is>
          <t>JUMLAH</t>
        </is>
      </c>
    </row>
    <row r="5">
      <c r="A5" s="15" t="n"/>
    </row>
    <row r="6">
      <c r="A6" s="14" t="inlineStr">
        <is>
          <t>Total Kredit</t>
        </is>
      </c>
      <c r="C6" s="14" t="inlineStr">
        <is>
          <t>Total Pesanan Offline Belum Bayar</t>
        </is>
      </c>
    </row>
    <row r="7">
      <c r="A7" s="16">
        <f>SUM(Modal_Hutang!G:G)</f>
        <v/>
      </c>
      <c r="C7" s="20">
        <f>COUNTIF(Pengeluaran_Barang_Offline!G:G,FALSE)</f>
        <v/>
      </c>
    </row>
    <row r="8">
      <c r="A8" s="15" t="n"/>
    </row>
    <row r="9">
      <c r="A9" s="14" t="inlineStr">
        <is>
          <t>Total Deposit</t>
        </is>
      </c>
      <c r="C9" s="14" t="inlineStr">
        <is>
          <t xml:space="preserve">Total Saldo Operasional </t>
        </is>
      </c>
    </row>
    <row r="10">
      <c r="A10" s="16">
        <f>SUM(Modal_Hutang!#REF!)</f>
        <v/>
      </c>
      <c r="C10" s="17" t="n"/>
    </row>
    <row r="11">
      <c r="A11" s="15" t="n"/>
    </row>
    <row r="12">
      <c r="A12" s="14" t="inlineStr">
        <is>
          <t>Total Pengeluaran Modal Operasional</t>
        </is>
      </c>
    </row>
    <row r="13">
      <c r="A13" s="17" t="n"/>
    </row>
    <row r="20">
      <c r="A20" s="18" t="n"/>
    </row>
  </sheetData>
  <mergeCells count="3">
    <mergeCell ref="A1:C1"/>
    <mergeCell ref="E3:F3"/>
    <mergeCell ref="H3:I3"/>
  </mergeCells>
  <conditionalFormatting sqref="A10">
    <cfRule type="cellIs" priority="1" operator="lessThan" dxfId="6" stopIfTrue="1">
      <formula>0</formula>
    </cfRule>
  </conditionalFormatting>
  <conditionalFormatting sqref="A7 A19 C4 C19 E7 E10">
    <cfRule type="cellIs" priority="2" operator="lessThan" dxfId="6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E11" sqref="E11"/>
    </sheetView>
  </sheetViews>
  <sheetFormatPr baseColWidth="8" defaultRowHeight="15"/>
  <cols>
    <col width="12" customWidth="1" style="2" min="1" max="1"/>
    <col width="19.5703125" customWidth="1" style="3" min="2" max="2"/>
    <col width="9.140625" customWidth="1" style="4" min="3" max="3"/>
  </cols>
  <sheetData>
    <row r="1" ht="15" customHeight="1" s="35">
      <c r="A1" s="5" t="inlineStr">
        <is>
          <t>Tanggal</t>
        </is>
      </c>
      <c r="B1" s="6" t="inlineStr">
        <is>
          <t>SKU</t>
        </is>
      </c>
      <c r="C1" s="7" t="inlineStr">
        <is>
          <t>Jumlah</t>
        </is>
      </c>
    </row>
    <row r="2">
      <c r="A2" t="inlineStr">
        <is>
          <t>2026-04-14</t>
        </is>
      </c>
      <c r="B2" t="inlineStr">
        <is>
          <t>JSO-Smoke</t>
        </is>
      </c>
      <c r="C2" t="n">
        <v>116</v>
      </c>
    </row>
    <row r="3">
      <c r="A3" t="inlineStr">
        <is>
          <t>2026-04-14</t>
        </is>
      </c>
      <c r="B3" t="inlineStr">
        <is>
          <t>JSO-Almond</t>
        </is>
      </c>
      <c r="C3" t="n">
        <v>20</v>
      </c>
    </row>
    <row r="4">
      <c r="A4" t="inlineStr">
        <is>
          <t>2026-04-14</t>
        </is>
      </c>
      <c r="B4" t="inlineStr">
        <is>
          <t>JSO-Grey</t>
        </is>
      </c>
      <c r="C4" t="n">
        <v>116</v>
      </c>
    </row>
    <row r="5">
      <c r="A5" t="inlineStr">
        <is>
          <t>2026-04-14</t>
        </is>
      </c>
      <c r="B5" t="inlineStr">
        <is>
          <t>JSO-Cokelat Tua</t>
        </is>
      </c>
      <c r="C5" t="n">
        <v>146</v>
      </c>
    </row>
    <row r="6">
      <c r="A6" t="inlineStr">
        <is>
          <t>2026-04-14</t>
        </is>
      </c>
      <c r="B6" t="inlineStr">
        <is>
          <t>JSO-Softpink</t>
        </is>
      </c>
      <c r="C6" t="n">
        <v>120</v>
      </c>
    </row>
    <row r="7">
      <c r="A7" t="inlineStr">
        <is>
          <t>2026-04-14</t>
        </is>
      </c>
      <c r="B7" t="inlineStr">
        <is>
          <t>JSO-Hitam</t>
        </is>
      </c>
      <c r="C7" t="n">
        <v>174</v>
      </c>
    </row>
    <row r="8">
      <c r="A8" t="inlineStr">
        <is>
          <t>2026-04-14</t>
        </is>
      </c>
      <c r="B8" t="inlineStr">
        <is>
          <t>DG-Almond</t>
        </is>
      </c>
      <c r="C8" t="n">
        <v>88</v>
      </c>
    </row>
    <row r="9">
      <c r="A9" t="inlineStr">
        <is>
          <t>2026-04-14</t>
        </is>
      </c>
      <c r="B9" t="inlineStr">
        <is>
          <t>DG-Grey</t>
        </is>
      </c>
      <c r="C9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2" sqref="A2"/>
    </sheetView>
  </sheetViews>
  <sheetFormatPr baseColWidth="8" defaultRowHeight="15"/>
  <cols>
    <col width="12" customWidth="1" style="2" min="1" max="1"/>
    <col width="17" customWidth="1" style="3" min="2" max="2"/>
    <col width="19.5703125" customWidth="1" style="3" min="3" max="3"/>
    <col width="14.140625" bestFit="1" customWidth="1" style="4" min="4" max="4"/>
  </cols>
  <sheetData>
    <row r="1" ht="15" customHeight="1" s="35">
      <c r="A1" s="5" t="inlineStr">
        <is>
          <t>Tanggal</t>
        </is>
      </c>
      <c r="B1" s="5" t="inlineStr">
        <is>
          <t>Jenis</t>
        </is>
      </c>
      <c r="C1" s="6" t="inlineStr">
        <is>
          <t>Nama</t>
        </is>
      </c>
      <c r="D1" s="6" t="inlineStr">
        <is>
          <t>SKU</t>
        </is>
      </c>
      <c r="E1" s="7" t="inlineStr">
        <is>
          <t>Jumlah</t>
        </is>
      </c>
    </row>
    <row r="2">
      <c r="A2" t="inlineStr">
        <is>
          <t>2026-04-14</t>
        </is>
      </c>
      <c r="B2" t="inlineStr">
        <is>
          <t>Peng-Sup</t>
        </is>
      </c>
      <c r="C2" t="inlineStr">
        <is>
          <t>Kak Tarul</t>
        </is>
      </c>
      <c r="D2" t="inlineStr">
        <is>
          <t>DG-Almond</t>
        </is>
      </c>
      <c r="E2" t="n">
        <v>88</v>
      </c>
    </row>
    <row r="3">
      <c r="A3" t="inlineStr">
        <is>
          <t>2026-04-14</t>
        </is>
      </c>
      <c r="B3" t="inlineStr">
        <is>
          <t>Peng-Sup</t>
        </is>
      </c>
      <c r="C3" t="inlineStr">
        <is>
          <t>Kak Tarul</t>
        </is>
      </c>
      <c r="D3" t="inlineStr">
        <is>
          <t>DG-Grey</t>
        </is>
      </c>
      <c r="E3" t="n">
        <v>100</v>
      </c>
    </row>
    <row r="4">
      <c r="A4" t="inlineStr">
        <is>
          <t>2026-04-14</t>
        </is>
      </c>
      <c r="B4" t="inlineStr">
        <is>
          <t>Peng-Sup</t>
        </is>
      </c>
      <c r="C4" t="inlineStr">
        <is>
          <t>Kak Tarul</t>
        </is>
      </c>
      <c r="D4" t="inlineStr">
        <is>
          <t>JSO-Cokelat Tua</t>
        </is>
      </c>
      <c r="E4" t="n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tabSelected="1" zoomScaleNormal="100" workbookViewId="0">
      <selection activeCell="J16" sqref="J16:P16"/>
    </sheetView>
  </sheetViews>
  <sheetFormatPr baseColWidth="8" defaultRowHeight="15"/>
  <cols>
    <col width="12" customWidth="1" style="2" min="1" max="2"/>
    <col width="25.85546875" customWidth="1" style="3" min="3" max="3"/>
    <col width="7.42578125" customWidth="1" style="4" min="4" max="4"/>
    <col width="15" customWidth="1" style="28" min="5" max="5"/>
    <col width="15.42578125" bestFit="1" customWidth="1" style="28" min="6" max="7"/>
    <col width="14.42578125" bestFit="1" customWidth="1" style="35" min="8" max="8"/>
    <col width="12" customWidth="1" style="2" min="10" max="11"/>
    <col width="25.85546875" customWidth="1" style="3" min="12" max="12"/>
    <col width="7.42578125" customWidth="1" style="4" min="13" max="13"/>
    <col width="15" customWidth="1" style="8" min="14" max="14"/>
    <col width="15.42578125" customWidth="1" style="8" min="15" max="15"/>
    <col width="15" customWidth="1" style="8" min="16" max="16"/>
  </cols>
  <sheetData>
    <row r="1" ht="15" customHeight="1" s="35">
      <c r="A1" s="5" t="inlineStr">
        <is>
          <t>Tanggal</t>
        </is>
      </c>
      <c r="B1" s="5" t="inlineStr">
        <is>
          <t>Nama</t>
        </is>
      </c>
      <c r="C1" s="6" t="inlineStr">
        <is>
          <t>Jenis</t>
        </is>
      </c>
      <c r="D1" s="7" t="inlineStr">
        <is>
          <t>Jumlah</t>
        </is>
      </c>
      <c r="E1" s="26" t="inlineStr">
        <is>
          <t>Harga Satuan</t>
        </is>
      </c>
      <c r="F1" s="26" t="inlineStr">
        <is>
          <t>Total</t>
        </is>
      </c>
      <c r="G1" s="26" t="inlineStr">
        <is>
          <t>Kredit</t>
        </is>
      </c>
      <c r="J1" s="5" t="inlineStr">
        <is>
          <t>Tanggal</t>
        </is>
      </c>
      <c r="K1" s="5" t="inlineStr">
        <is>
          <t>Nama</t>
        </is>
      </c>
      <c r="L1" s="6" t="inlineStr">
        <is>
          <t>Jenis</t>
        </is>
      </c>
      <c r="M1" s="7" t="inlineStr">
        <is>
          <t>Jumlah</t>
        </is>
      </c>
      <c r="N1" s="9" t="inlineStr">
        <is>
          <t>Harga Satuan</t>
        </is>
      </c>
      <c r="O1" s="9" t="inlineStr">
        <is>
          <t>Total</t>
        </is>
      </c>
      <c r="P1" s="9" t="inlineStr">
        <is>
          <t>Deposit</t>
        </is>
      </c>
    </row>
    <row r="2">
      <c r="A2" t="inlineStr">
        <is>
          <t>2026-04-13</t>
        </is>
      </c>
      <c r="B2" t="inlineStr">
        <is>
          <t>Kak Boden</t>
        </is>
      </c>
      <c r="C2" t="inlineStr">
        <is>
          <t>Label Akrilik</t>
        </is>
      </c>
      <c r="D2" t="n">
        <v>20000</v>
      </c>
      <c r="E2" t="n">
        <v>250</v>
      </c>
      <c r="F2" s="22">
        <f>D2*E2</f>
        <v/>
      </c>
      <c r="G2" s="22" t="n">
        <v>5000000</v>
      </c>
      <c r="J2" t="inlineStr">
        <is>
          <t>2026-04-13</t>
        </is>
      </c>
      <c r="M2" t="n">
        <v>0</v>
      </c>
      <c r="N2" t="n">
        <v>0</v>
      </c>
      <c r="O2">
        <f>M2*N2</f>
        <v/>
      </c>
      <c r="P2" s="22" t="n">
        <v>0</v>
      </c>
    </row>
    <row r="3">
      <c r="A3" t="inlineStr">
        <is>
          <t>2026-04-14</t>
        </is>
      </c>
      <c r="B3" t="inlineStr">
        <is>
          <t>Kak Yudi</t>
        </is>
      </c>
      <c r="C3" t="inlineStr">
        <is>
          <t>Kain Jersey</t>
        </is>
      </c>
      <c r="D3" t="n">
        <v>635.04</v>
      </c>
      <c r="E3" s="27" t="n">
        <v>58000</v>
      </c>
      <c r="F3" s="27">
        <f>D3*E3</f>
        <v/>
      </c>
      <c r="G3" s="27" t="n">
        <v>36832320</v>
      </c>
      <c r="J3" t="inlineStr">
        <is>
          <t>2026-04-14</t>
        </is>
      </c>
      <c r="K3" t="inlineStr">
        <is>
          <t>Kak Yudi</t>
        </is>
      </c>
      <c r="L3" t="inlineStr">
        <is>
          <t>Kain Jersey</t>
        </is>
      </c>
      <c r="M3" t="n">
        <v>635.04</v>
      </c>
      <c r="N3" s="27" t="n">
        <v>58000</v>
      </c>
      <c r="O3" s="27">
        <f>M3*N3</f>
        <v/>
      </c>
      <c r="P3" s="27" t="n">
        <v>36832320</v>
      </c>
    </row>
    <row r="4">
      <c r="A4" t="inlineStr">
        <is>
          <t>2026-04-14</t>
        </is>
      </c>
      <c r="B4" t="inlineStr">
        <is>
          <t>Kak Yudi</t>
        </is>
      </c>
      <c r="C4" t="inlineStr">
        <is>
          <t>Kain Jersey</t>
        </is>
      </c>
      <c r="D4" t="n">
        <v>433.74</v>
      </c>
      <c r="E4" s="27" t="n">
        <v>60000</v>
      </c>
      <c r="F4" s="27">
        <f>D4*E4</f>
        <v/>
      </c>
      <c r="G4" s="27" t="n">
        <v>26024400</v>
      </c>
      <c r="J4" t="inlineStr">
        <is>
          <t>2026-04-20</t>
        </is>
      </c>
      <c r="K4" t="inlineStr">
        <is>
          <t>Kak Yudi</t>
        </is>
      </c>
      <c r="L4" t="inlineStr">
        <is>
          <t>Kain Jersey</t>
        </is>
      </c>
      <c r="M4" t="n">
        <v>433.74</v>
      </c>
      <c r="N4" t="n">
        <v>60000</v>
      </c>
      <c r="O4">
        <f>M4*N4</f>
        <v/>
      </c>
      <c r="P4" s="22" t="n">
        <v>26024400</v>
      </c>
    </row>
    <row r="5">
      <c r="A5" t="inlineStr">
        <is>
          <t>2026-04-14</t>
        </is>
      </c>
      <c r="B5" t="inlineStr">
        <is>
          <t>Kak Yudi</t>
        </is>
      </c>
      <c r="C5" t="inlineStr">
        <is>
          <t>Kain Jersey</t>
        </is>
      </c>
      <c r="D5" t="n">
        <v>457.94</v>
      </c>
      <c r="E5" s="27" t="n">
        <v>60000</v>
      </c>
      <c r="F5" s="27">
        <f>D5*E5</f>
        <v/>
      </c>
      <c r="G5" s="27" t="n">
        <v>27476400</v>
      </c>
      <c r="J5" t="inlineStr">
        <is>
          <t>2026-04-20</t>
        </is>
      </c>
      <c r="K5" t="inlineStr">
        <is>
          <t>Kak Yudi</t>
        </is>
      </c>
      <c r="L5" t="inlineStr">
        <is>
          <t>Kain Jersey</t>
        </is>
      </c>
      <c r="M5" t="n">
        <v>457.94</v>
      </c>
      <c r="N5" t="n">
        <v>60000</v>
      </c>
      <c r="O5">
        <f>M5*N5</f>
        <v/>
      </c>
      <c r="P5" s="22" t="n">
        <v>27476400</v>
      </c>
    </row>
    <row r="6">
      <c r="A6" t="inlineStr">
        <is>
          <t>2026-04-14</t>
        </is>
      </c>
      <c r="B6" t="inlineStr">
        <is>
          <t>Kak Yudi</t>
        </is>
      </c>
      <c r="C6" t="inlineStr">
        <is>
          <t>Kain Jersey</t>
        </is>
      </c>
      <c r="D6" t="n">
        <v>479.65</v>
      </c>
      <c r="E6" s="27" t="n">
        <v>60000</v>
      </c>
      <c r="F6" s="27">
        <f>D6*E6</f>
        <v/>
      </c>
      <c r="G6" s="27" t="n">
        <v>28779000</v>
      </c>
      <c r="J6" s="30" t="n">
        <v>46135</v>
      </c>
      <c r="K6" t="inlineStr">
        <is>
          <t>Kak Yudi</t>
        </is>
      </c>
      <c r="L6" t="inlineStr">
        <is>
          <t>Kain Jersey</t>
        </is>
      </c>
      <c r="M6" t="n">
        <v>479.65</v>
      </c>
      <c r="N6" s="27" t="n">
        <v>60000</v>
      </c>
      <c r="O6" s="27">
        <f>M6*N6</f>
        <v/>
      </c>
      <c r="P6" s="27" t="n">
        <v>28779000</v>
      </c>
    </row>
    <row r="7">
      <c r="A7" t="inlineStr">
        <is>
          <t>2026-04-14</t>
        </is>
      </c>
      <c r="B7" t="inlineStr">
        <is>
          <t>Kak Yudi</t>
        </is>
      </c>
      <c r="C7" t="inlineStr">
        <is>
          <t>Kain Jersey</t>
        </is>
      </c>
      <c r="D7" t="n">
        <v>304.31</v>
      </c>
      <c r="E7" s="27" t="n">
        <v>60000</v>
      </c>
      <c r="F7" s="27">
        <f>D7*E7</f>
        <v/>
      </c>
      <c r="G7" s="27" t="n">
        <v>18258600</v>
      </c>
      <c r="J7" s="30" t="n">
        <v>46135</v>
      </c>
      <c r="K7" t="inlineStr">
        <is>
          <t>Kak Yudi</t>
        </is>
      </c>
      <c r="L7" t="inlineStr">
        <is>
          <t>Kain Jersey</t>
        </is>
      </c>
      <c r="M7" t="n">
        <v>304.31</v>
      </c>
      <c r="N7" s="27" t="n">
        <v>60000</v>
      </c>
      <c r="O7" s="27">
        <f>M7*N7</f>
        <v/>
      </c>
      <c r="P7" s="27" t="n">
        <v>18258600</v>
      </c>
    </row>
    <row r="8">
      <c r="A8" t="inlineStr">
        <is>
          <t>2026-04-14</t>
        </is>
      </c>
      <c r="B8" t="inlineStr">
        <is>
          <t>Kak Kemat</t>
        </is>
      </c>
      <c r="C8" t="inlineStr">
        <is>
          <t>Label Akrilik</t>
        </is>
      </c>
      <c r="D8" t="n">
        <v>15000</v>
      </c>
      <c r="E8" t="n">
        <v>250</v>
      </c>
      <c r="F8" s="22">
        <f>D8*E8</f>
        <v/>
      </c>
      <c r="G8" s="22" t="n">
        <v>3750000</v>
      </c>
      <c r="J8" t="inlineStr">
        <is>
          <t>2026-04-14</t>
        </is>
      </c>
      <c r="K8" t="inlineStr">
        <is>
          <t>Kak Kemat</t>
        </is>
      </c>
      <c r="L8" t="inlineStr">
        <is>
          <t>Label Akrilik</t>
        </is>
      </c>
      <c r="M8" t="n">
        <v>15000</v>
      </c>
      <c r="N8" t="n">
        <v>250</v>
      </c>
      <c r="O8">
        <f>M8*N8</f>
        <v/>
      </c>
      <c r="P8" s="22" t="n">
        <v>3750000</v>
      </c>
    </row>
    <row r="9">
      <c r="A9" t="inlineStr">
        <is>
          <t>2026-04-15</t>
        </is>
      </c>
      <c r="B9" t="inlineStr">
        <is>
          <t>Kak Yudi</t>
        </is>
      </c>
      <c r="C9" t="inlineStr">
        <is>
          <t>Kain Jersey</t>
        </is>
      </c>
      <c r="D9">
        <f>25.3+25.95+26.07+25.55+25.1+25.96+24.55+25.65+25.2+26.9</f>
        <v/>
      </c>
      <c r="E9" s="27" t="n">
        <v>60000</v>
      </c>
      <c r="F9" s="27">
        <f>D9*E9</f>
        <v/>
      </c>
      <c r="G9" s="27" t="n">
        <v>15373800</v>
      </c>
      <c r="J9" t="inlineStr">
        <is>
          <t>2026-04-15</t>
        </is>
      </c>
      <c r="K9" t="inlineStr">
        <is>
          <t>Kak Yudi</t>
        </is>
      </c>
      <c r="L9" t="inlineStr">
        <is>
          <t>Kain Jersey</t>
        </is>
      </c>
      <c r="M9">
        <f>25.3+25.95+26.07+25.55+25.1+25.96+24.55+25.65+25.2+26.9</f>
        <v/>
      </c>
      <c r="N9" s="27" t="n">
        <v>60000</v>
      </c>
      <c r="O9" s="27">
        <f>M9*N9</f>
        <v/>
      </c>
      <c r="P9" s="27" t="n">
        <v>15373800</v>
      </c>
    </row>
    <row r="10">
      <c r="A10" t="inlineStr">
        <is>
          <t>2026-04-16</t>
        </is>
      </c>
      <c r="B10" t="inlineStr">
        <is>
          <t>Kak Yudi</t>
        </is>
      </c>
      <c r="C10" t="inlineStr">
        <is>
          <t>Kain Jersey</t>
        </is>
      </c>
      <c r="D10" t="n">
        <v>76.40000000000001</v>
      </c>
      <c r="E10" s="27" t="n">
        <v>60000</v>
      </c>
      <c r="F10" s="27">
        <f>D10*E10</f>
        <v/>
      </c>
      <c r="G10" s="27" t="n">
        <v>4584000</v>
      </c>
      <c r="J10" t="inlineStr">
        <is>
          <t>2026-04-16</t>
        </is>
      </c>
      <c r="K10" t="inlineStr">
        <is>
          <t>Kak Yudi</t>
        </is>
      </c>
      <c r="L10" t="inlineStr">
        <is>
          <t>Kain Jersey</t>
        </is>
      </c>
      <c r="M10" t="n">
        <v>76.40000000000001</v>
      </c>
      <c r="N10" s="27" t="n">
        <v>60000</v>
      </c>
      <c r="O10" s="27">
        <f>M10*N10</f>
        <v/>
      </c>
      <c r="P10" s="27" t="n">
        <v>4584000</v>
      </c>
    </row>
    <row r="11">
      <c r="A11" t="inlineStr">
        <is>
          <t>2026-04-17</t>
        </is>
      </c>
      <c r="B11" t="inlineStr">
        <is>
          <t>Kak Yudi</t>
        </is>
      </c>
      <c r="C11" t="inlineStr">
        <is>
          <t>Kain Jersey</t>
        </is>
      </c>
      <c r="D11" t="n">
        <v>202.7</v>
      </c>
      <c r="E11" s="27" t="n">
        <v>60000</v>
      </c>
      <c r="F11" s="27">
        <f>D11*E11</f>
        <v/>
      </c>
      <c r="G11" s="27" t="n">
        <v>12162000</v>
      </c>
      <c r="J11" t="inlineStr">
        <is>
          <t>2026-04-17</t>
        </is>
      </c>
      <c r="K11" t="inlineStr">
        <is>
          <t>Kak Yudi</t>
        </is>
      </c>
      <c r="L11" t="inlineStr">
        <is>
          <t>Kain Jersey</t>
        </is>
      </c>
      <c r="M11" t="n">
        <v>202.7</v>
      </c>
      <c r="N11" s="27" t="n">
        <v>60000</v>
      </c>
      <c r="O11" s="27">
        <f>M11*N11</f>
        <v/>
      </c>
      <c r="P11" s="27" t="n">
        <v>12162000</v>
      </c>
    </row>
    <row r="12">
      <c r="A12" t="inlineStr">
        <is>
          <t>2026-04-18</t>
        </is>
      </c>
      <c r="B12" t="inlineStr">
        <is>
          <t>Kak Yudi</t>
        </is>
      </c>
      <c r="C12" t="inlineStr">
        <is>
          <t>Kain Jersey</t>
        </is>
      </c>
      <c r="D12">
        <f>76.05+50.3+125.87</f>
        <v/>
      </c>
      <c r="E12" s="27" t="n">
        <v>60000</v>
      </c>
      <c r="F12" s="27">
        <f>D12*E12</f>
        <v/>
      </c>
      <c r="G12" s="27" t="n">
        <v>15133200</v>
      </c>
      <c r="J12" t="inlineStr">
        <is>
          <t>2026-04-18</t>
        </is>
      </c>
      <c r="K12" t="inlineStr">
        <is>
          <t>Kak Yudi</t>
        </is>
      </c>
      <c r="L12" t="inlineStr">
        <is>
          <t>Kain Jersey</t>
        </is>
      </c>
      <c r="M12">
        <f>76.05+50.3+125.87</f>
        <v/>
      </c>
      <c r="N12" s="27" t="n">
        <v>60000</v>
      </c>
      <c r="O12" s="27">
        <f>M12*N12</f>
        <v/>
      </c>
      <c r="P12" s="27" t="n">
        <v>15133200</v>
      </c>
    </row>
    <row r="13">
      <c r="A13" t="inlineStr">
        <is>
          <t>2026-04-20</t>
        </is>
      </c>
      <c r="B13" t="inlineStr">
        <is>
          <t>Kak Yudi</t>
        </is>
      </c>
      <c r="C13" t="inlineStr">
        <is>
          <t>Kain Jersey</t>
        </is>
      </c>
      <c r="D13" t="n">
        <v>407.27</v>
      </c>
      <c r="E13" s="27" t="n">
        <v>60000</v>
      </c>
      <c r="F13" s="27">
        <f>D13*E13</f>
        <v/>
      </c>
      <c r="G13" s="27" t="n">
        <v>24436200</v>
      </c>
      <c r="J13" t="inlineStr">
        <is>
          <t>2026-04-20</t>
        </is>
      </c>
      <c r="K13" t="inlineStr">
        <is>
          <t>Kak Yudi</t>
        </is>
      </c>
      <c r="L13" t="inlineStr">
        <is>
          <t>Kain Jersey</t>
        </is>
      </c>
      <c r="M13" t="n">
        <v>407.27</v>
      </c>
      <c r="N13" s="27" t="n">
        <v>60000</v>
      </c>
      <c r="O13" s="27">
        <f>M13*N13</f>
        <v/>
      </c>
      <c r="P13" s="27" t="n">
        <v>24436200</v>
      </c>
    </row>
    <row r="14">
      <c r="A14" t="inlineStr">
        <is>
          <t>2026-04-22</t>
        </is>
      </c>
      <c r="B14" t="inlineStr">
        <is>
          <t>Kak Yudi</t>
        </is>
      </c>
      <c r="C14" t="inlineStr">
        <is>
          <t>Kain Jersey</t>
        </is>
      </c>
      <c r="D14" t="n">
        <v>229.37</v>
      </c>
      <c r="E14" t="n">
        <v>60000</v>
      </c>
      <c r="F14">
        <f>D14*E14</f>
        <v/>
      </c>
      <c r="G14" t="n">
        <v>13762200</v>
      </c>
      <c r="J14" t="inlineStr">
        <is>
          <t>2026-04-22</t>
        </is>
      </c>
      <c r="K14" t="inlineStr">
        <is>
          <t>Kak Yudi</t>
        </is>
      </c>
      <c r="L14" t="inlineStr">
        <is>
          <t>Kain Jersey</t>
        </is>
      </c>
      <c r="M14" t="n">
        <v>229.37</v>
      </c>
      <c r="N14" t="n">
        <v>60000</v>
      </c>
      <c r="O14">
        <f>M14*N14</f>
        <v/>
      </c>
      <c r="P14" t="n">
        <v>13762200</v>
      </c>
    </row>
    <row r="15">
      <c r="A15" t="inlineStr">
        <is>
          <t>2026-04-22</t>
        </is>
      </c>
      <c r="B15" t="inlineStr">
        <is>
          <t>Salim Cap</t>
        </is>
      </c>
      <c r="C15" t="inlineStr">
        <is>
          <t>Hangtag</t>
        </is>
      </c>
      <c r="D15" t="n">
        <v>25000</v>
      </c>
      <c r="E15" t="n">
        <v>215</v>
      </c>
      <c r="F15">
        <f>D15*E15</f>
        <v/>
      </c>
      <c r="G15" t="n">
        <v>5375000</v>
      </c>
      <c r="J15" t="inlineStr">
        <is>
          <t>2026-04-22</t>
        </is>
      </c>
      <c r="K15" t="inlineStr">
        <is>
          <t>Salim Cap</t>
        </is>
      </c>
      <c r="L15" t="inlineStr">
        <is>
          <t>Hangtag</t>
        </is>
      </c>
      <c r="M15" t="n">
        <v>25000</v>
      </c>
      <c r="N15" t="n">
        <v>215</v>
      </c>
      <c r="O15">
        <f>M15*N15</f>
        <v/>
      </c>
      <c r="P15" t="n">
        <v>5375000</v>
      </c>
    </row>
    <row r="16">
      <c r="A16" t="inlineStr">
        <is>
          <t>2026-04-23</t>
        </is>
      </c>
      <c r="B16" t="inlineStr">
        <is>
          <t>Kak Yudi</t>
        </is>
      </c>
      <c r="C16" t="inlineStr">
        <is>
          <t>Kain Jersey</t>
        </is>
      </c>
      <c r="D16" t="n">
        <v>229.41</v>
      </c>
      <c r="E16" t="n">
        <v>60000</v>
      </c>
      <c r="F16">
        <f>D16*E16</f>
        <v/>
      </c>
      <c r="G16" t="n">
        <v>13764600</v>
      </c>
      <c r="J16" t="inlineStr">
        <is>
          <t>2026-05-11</t>
        </is>
      </c>
      <c r="K16" t="inlineStr">
        <is>
          <t>Kak Yudi</t>
        </is>
      </c>
      <c r="L16" t="inlineStr">
        <is>
          <t>Kain Jersey</t>
        </is>
      </c>
      <c r="M16" t="n">
        <v>229.41</v>
      </c>
      <c r="N16" t="n">
        <v>60000</v>
      </c>
      <c r="P16" t="n">
        <v>13764600</v>
      </c>
    </row>
    <row r="17">
      <c r="A17" t="inlineStr">
        <is>
          <t>2026-04-25</t>
        </is>
      </c>
      <c r="B17" t="inlineStr">
        <is>
          <t>Kak Yudi</t>
        </is>
      </c>
      <c r="C17" t="inlineStr">
        <is>
          <t>Kain Jersey</t>
        </is>
      </c>
      <c r="D17" t="n">
        <v>329.23</v>
      </c>
      <c r="E17" t="n">
        <v>60000</v>
      </c>
      <c r="F17">
        <f>D17*E17</f>
        <v/>
      </c>
      <c r="G17" t="n">
        <v>19753800</v>
      </c>
      <c r="J17" t="inlineStr">
        <is>
          <t>2026-05-11</t>
        </is>
      </c>
      <c r="K17" t="inlineStr">
        <is>
          <t>Kak Yudi</t>
        </is>
      </c>
      <c r="L17" t="inlineStr">
        <is>
          <t>Kain Jersey</t>
        </is>
      </c>
      <c r="M17" t="n">
        <v>329.23</v>
      </c>
      <c r="N17" t="n">
        <v>60000</v>
      </c>
      <c r="P17" t="n">
        <v>19753800</v>
      </c>
    </row>
    <row r="18">
      <c r="A18" t="inlineStr">
        <is>
          <t>2026-04-27</t>
        </is>
      </c>
      <c r="B18" t="inlineStr">
        <is>
          <t>Kak Boden</t>
        </is>
      </c>
      <c r="C18" t="inlineStr">
        <is>
          <t>Cap Wooven</t>
        </is>
      </c>
      <c r="D18" t="n">
        <v>120000</v>
      </c>
      <c r="E18" t="n">
        <v>150</v>
      </c>
      <c r="F18">
        <f>D18*E18</f>
        <v/>
      </c>
      <c r="G18" t="n">
        <v>18000000</v>
      </c>
      <c r="J18" t="inlineStr">
        <is>
          <t>2026-05-08</t>
        </is>
      </c>
      <c r="K18" t="inlineStr">
        <is>
          <t>Kak Boden</t>
        </is>
      </c>
      <c r="L18" t="inlineStr">
        <is>
          <t>Cap Wooven</t>
        </is>
      </c>
      <c r="M18" t="n">
        <v>120000</v>
      </c>
      <c r="N18" t="n">
        <v>150</v>
      </c>
      <c r="P18" t="n">
        <v>10000000</v>
      </c>
    </row>
    <row r="19">
      <c r="A19" t="inlineStr">
        <is>
          <t>2026-04-27</t>
        </is>
      </c>
      <c r="B19" t="inlineStr">
        <is>
          <t>Kak Yudi</t>
        </is>
      </c>
      <c r="C19" t="inlineStr">
        <is>
          <t>Kain Jersey</t>
        </is>
      </c>
      <c r="D19" t="n">
        <v>251.91</v>
      </c>
      <c r="E19" t="n">
        <v>60000</v>
      </c>
      <c r="F19">
        <f>D19*E19</f>
        <v/>
      </c>
      <c r="G19" t="n">
        <v>15114600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0</v>
      </c>
      <c r="N19" t="n">
        <v>0</v>
      </c>
      <c r="P19" t="n">
        <v>0</v>
      </c>
    </row>
    <row r="20">
      <c r="A20" t="inlineStr">
        <is>
          <t>2026-04-28</t>
        </is>
      </c>
      <c r="B20" t="inlineStr">
        <is>
          <t>Kak Yudi</t>
        </is>
      </c>
      <c r="C20" t="inlineStr">
        <is>
          <t>Kain Jersey</t>
        </is>
      </c>
      <c r="D20" t="n">
        <v>179.12</v>
      </c>
      <c r="E20" t="n">
        <v>60000</v>
      </c>
      <c r="F20">
        <f>D20*E20</f>
        <v/>
      </c>
      <c r="G20" t="n">
        <v>10747200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n">
        <v>0</v>
      </c>
      <c r="N20" t="n">
        <v>0</v>
      </c>
      <c r="P20" t="n">
        <v>0</v>
      </c>
    </row>
    <row r="21">
      <c r="A21" t="inlineStr">
        <is>
          <t>2026-04-29</t>
        </is>
      </c>
      <c r="B21" t="inlineStr">
        <is>
          <t>Kak Yudi</t>
        </is>
      </c>
      <c r="C21" t="inlineStr">
        <is>
          <t>Kain Jersey</t>
        </is>
      </c>
      <c r="D21" t="n">
        <v>127.58</v>
      </c>
      <c r="E21" t="n">
        <v>60000</v>
      </c>
      <c r="F21">
        <f>D21*E21</f>
        <v/>
      </c>
      <c r="G21" t="n">
        <v>7654800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n">
        <v>0</v>
      </c>
      <c r="N21" t="n">
        <v>0</v>
      </c>
      <c r="P21" t="n">
        <v>0</v>
      </c>
    </row>
    <row r="22">
      <c r="A22" t="inlineStr">
        <is>
          <t>2026-04-30</t>
        </is>
      </c>
      <c r="B22" t="inlineStr">
        <is>
          <t>Kak Yudi</t>
        </is>
      </c>
      <c r="C22" t="inlineStr">
        <is>
          <t>Kain Jersey</t>
        </is>
      </c>
      <c r="D22" t="n">
        <v>229.6</v>
      </c>
      <c r="E22" t="n">
        <v>60000</v>
      </c>
      <c r="F22">
        <f>D22*E22</f>
        <v/>
      </c>
      <c r="G22" t="n">
        <v>13776000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0</v>
      </c>
      <c r="N22" t="n">
        <v>0</v>
      </c>
      <c r="P22" t="n">
        <v>0</v>
      </c>
    </row>
    <row r="23">
      <c r="A23" t="inlineStr">
        <is>
          <t>2026-05-02</t>
        </is>
      </c>
      <c r="B23" t="inlineStr">
        <is>
          <t>Kak Yudi</t>
        </is>
      </c>
      <c r="C23" t="inlineStr">
        <is>
          <t>Kain Jersey</t>
        </is>
      </c>
      <c r="D23" t="n">
        <v>101.65</v>
      </c>
      <c r="E23" t="n">
        <v>60000</v>
      </c>
      <c r="F23">
        <f>D23*E23</f>
        <v/>
      </c>
      <c r="G23" t="n">
        <v>6099000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n">
        <v>0</v>
      </c>
      <c r="N23" t="n">
        <v>0</v>
      </c>
      <c r="P23" t="n">
        <v>0</v>
      </c>
    </row>
    <row r="24">
      <c r="A24" t="inlineStr">
        <is>
          <t>2026-05-01</t>
        </is>
      </c>
      <c r="B24" t="inlineStr">
        <is>
          <t>Kak Yudi</t>
        </is>
      </c>
      <c r="C24" t="inlineStr">
        <is>
          <t>Kain Jersey</t>
        </is>
      </c>
      <c r="D24" t="n">
        <v>152.33</v>
      </c>
      <c r="E24" t="n">
        <v>60000</v>
      </c>
      <c r="F24">
        <f>D24*E24</f>
        <v/>
      </c>
      <c r="G24" t="n">
        <v>9139800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n">
        <v>0</v>
      </c>
      <c r="N24" t="n">
        <v>0</v>
      </c>
      <c r="P24" t="n">
        <v>0</v>
      </c>
    </row>
    <row r="25">
      <c r="A25" t="inlineStr">
        <is>
          <t>2026-05-04</t>
        </is>
      </c>
      <c r="B25" t="inlineStr">
        <is>
          <t>Kak Yudi</t>
        </is>
      </c>
      <c r="C25" t="inlineStr">
        <is>
          <t>Kain Jersey</t>
        </is>
      </c>
      <c r="D25" t="n">
        <v>278.79</v>
      </c>
      <c r="E25" t="n">
        <v>60000</v>
      </c>
      <c r="F25">
        <f>D25*E25</f>
        <v/>
      </c>
      <c r="G25" t="n">
        <v>16727400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0</v>
      </c>
      <c r="N25" t="n">
        <v>0</v>
      </c>
      <c r="P25" t="n">
        <v>0</v>
      </c>
    </row>
    <row r="26">
      <c r="A26" t="inlineStr">
        <is>
          <t>2026-05-05</t>
        </is>
      </c>
      <c r="B26" t="inlineStr">
        <is>
          <t>Kak Yudi</t>
        </is>
      </c>
      <c r="C26" t="inlineStr">
        <is>
          <t>Kain Jersey</t>
        </is>
      </c>
      <c r="D26" t="n">
        <v>100.96</v>
      </c>
      <c r="E26" t="n">
        <v>60000</v>
      </c>
      <c r="F26">
        <f>D26*E26</f>
        <v/>
      </c>
      <c r="G26" t="n">
        <v>6057600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</v>
      </c>
      <c r="N26" t="n">
        <v>0</v>
      </c>
      <c r="P26" t="n">
        <v>0</v>
      </c>
    </row>
    <row r="27">
      <c r="A27" t="inlineStr">
        <is>
          <t>2026-05-06</t>
        </is>
      </c>
      <c r="B27" t="inlineStr">
        <is>
          <t>Kak Yudi</t>
        </is>
      </c>
      <c r="C27" t="inlineStr">
        <is>
          <t>Kain Jersey</t>
        </is>
      </c>
      <c r="D27" t="n">
        <v>406.63</v>
      </c>
      <c r="E27" t="n">
        <v>60000</v>
      </c>
      <c r="F27">
        <f>D27*E27</f>
        <v/>
      </c>
      <c r="G27" t="n">
        <v>24397800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</v>
      </c>
      <c r="N27" t="n">
        <v>0</v>
      </c>
      <c r="P27" t="n">
        <v>0</v>
      </c>
    </row>
    <row r="28">
      <c r="A28" t="inlineStr">
        <is>
          <t>2026-05-07</t>
        </is>
      </c>
      <c r="B28" t="inlineStr">
        <is>
          <t>Kak Yudi</t>
        </is>
      </c>
      <c r="C28" t="inlineStr">
        <is>
          <t>Kain Jersey</t>
        </is>
      </c>
      <c r="D28" t="n">
        <v>100.5</v>
      </c>
      <c r="E28" t="n">
        <v>60000</v>
      </c>
      <c r="F28">
        <f>D28*E28</f>
        <v/>
      </c>
      <c r="G28" t="n">
        <v>6030000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</v>
      </c>
      <c r="N28" t="n">
        <v>0</v>
      </c>
      <c r="P28" t="n">
        <v>0</v>
      </c>
    </row>
    <row r="29">
      <c r="A29" t="inlineStr">
        <is>
          <t>2026-05-08</t>
        </is>
      </c>
      <c r="B29" t="inlineStr">
        <is>
          <t>Kak Yudi</t>
        </is>
      </c>
      <c r="C29" t="inlineStr">
        <is>
          <t>Kain Jersey</t>
        </is>
      </c>
      <c r="D29" t="n">
        <v>75.95</v>
      </c>
      <c r="E29" t="n">
        <v>60000</v>
      </c>
      <c r="F29">
        <f>D29*E29</f>
        <v/>
      </c>
      <c r="G29" t="n">
        <v>4557000</v>
      </c>
      <c r="P29" t="n">
        <v>0</v>
      </c>
    </row>
    <row r="30">
      <c r="A30" t="inlineStr">
        <is>
          <t>2026-05-09</t>
        </is>
      </c>
      <c r="B30" t="inlineStr">
        <is>
          <t>Kak Yudi</t>
        </is>
      </c>
      <c r="C30" t="inlineStr">
        <is>
          <t>Kain Jersey</t>
        </is>
      </c>
      <c r="D30" t="n">
        <v>280.1</v>
      </c>
      <c r="E30" t="n">
        <v>60000</v>
      </c>
      <c r="F30">
        <f>D30*E30</f>
        <v/>
      </c>
      <c r="G30" t="n">
        <v>16806000</v>
      </c>
      <c r="P30" t="n">
        <v>0</v>
      </c>
    </row>
  </sheetData>
  <autoFilter ref="A1:G1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B37" sqref="B37"/>
    </sheetView>
  </sheetViews>
  <sheetFormatPr baseColWidth="8" defaultRowHeight="15"/>
  <cols>
    <col width="12" customWidth="1" style="2" min="1" max="1"/>
    <col width="25.85546875" customWidth="1" style="3" min="2" max="3"/>
    <col width="7.42578125" customWidth="1" style="4" min="4" max="4"/>
    <col width="15" customWidth="1" style="8" min="5" max="5"/>
    <col width="15.42578125" customWidth="1" style="8" min="6" max="6"/>
  </cols>
  <sheetData>
    <row r="1" ht="15" customHeight="1" s="35">
      <c r="A1" s="5" t="inlineStr">
        <is>
          <t>Tanggal</t>
        </is>
      </c>
      <c r="B1" s="6" t="inlineStr">
        <is>
          <t>Jenis</t>
        </is>
      </c>
      <c r="C1" s="6" t="inlineStr">
        <is>
          <t>Nama</t>
        </is>
      </c>
      <c r="D1" s="7" t="inlineStr">
        <is>
          <t>Jumlah</t>
        </is>
      </c>
      <c r="E1" s="9" t="inlineStr">
        <is>
          <t>Harga Satuan</t>
        </is>
      </c>
      <c r="F1" s="9" t="inlineStr">
        <is>
          <t>Total</t>
        </is>
      </c>
    </row>
    <row r="2">
      <c r="A2" t="inlineStr">
        <is>
          <t>2026-04-14</t>
        </is>
      </c>
      <c r="B2" t="inlineStr">
        <is>
          <t>Overhead</t>
        </is>
      </c>
      <c r="C2" t="inlineStr">
        <is>
          <t>Uang Makan</t>
        </is>
      </c>
      <c r="D2" t="n">
        <v>1</v>
      </c>
      <c r="E2" t="n">
        <v>50000</v>
      </c>
      <c r="F2">
        <f>D2*E2</f>
        <v/>
      </c>
    </row>
    <row r="3">
      <c r="A3" t="inlineStr">
        <is>
          <t>2026-04-22</t>
        </is>
      </c>
      <c r="B3" t="inlineStr">
        <is>
          <t>Barang</t>
        </is>
      </c>
      <c r="C3" t="inlineStr">
        <is>
          <t>Zaini</t>
        </is>
      </c>
      <c r="D3" t="n">
        <v>1</v>
      </c>
      <c r="E3" t="n">
        <v>275500</v>
      </c>
      <c r="F3">
        <f>D3*E3</f>
        <v/>
      </c>
    </row>
    <row r="4">
      <c r="A4" t="inlineStr">
        <is>
          <t>2026-04-22</t>
        </is>
      </c>
      <c r="B4" t="inlineStr">
        <is>
          <t>Barang</t>
        </is>
      </c>
      <c r="C4" t="inlineStr">
        <is>
          <t>Tali Hangtak</t>
        </is>
      </c>
      <c r="D4" t="n">
        <v>20000</v>
      </c>
      <c r="E4" t="n">
        <v>32</v>
      </c>
      <c r="F4">
        <f>D4*E4</f>
        <v/>
      </c>
    </row>
    <row r="5">
      <c r="A5" t="inlineStr">
        <is>
          <t>2026-04-22</t>
        </is>
      </c>
      <c r="B5" t="inlineStr">
        <is>
          <t>Utilitas</t>
        </is>
      </c>
      <c r="C5" t="inlineStr">
        <is>
          <t>Litrik</t>
        </is>
      </c>
      <c r="D5" t="n">
        <v>1</v>
      </c>
      <c r="E5" t="n">
        <v>524046</v>
      </c>
      <c r="F5">
        <f>D5*E5</f>
        <v/>
      </c>
    </row>
    <row r="6">
      <c r="A6" t="inlineStr">
        <is>
          <t>2026-04-15</t>
        </is>
      </c>
      <c r="B6" t="inlineStr">
        <is>
          <t>Utilitas</t>
        </is>
      </c>
      <c r="C6" t="inlineStr">
        <is>
          <t>Wifi Indihome</t>
        </is>
      </c>
      <c r="D6" t="n">
        <v>1</v>
      </c>
      <c r="E6" t="n">
        <v>363760</v>
      </c>
      <c r="F6">
        <f>D6*E6</f>
        <v/>
      </c>
    </row>
    <row r="7">
      <c r="A7" t="inlineStr">
        <is>
          <t>2026-04-23</t>
        </is>
      </c>
      <c r="B7" t="inlineStr">
        <is>
          <t>Barang</t>
        </is>
      </c>
      <c r="C7" t="inlineStr">
        <is>
          <t>Label Wooven</t>
        </is>
      </c>
      <c r="D7" t="n">
        <v>10000</v>
      </c>
      <c r="E7" t="n">
        <v>150</v>
      </c>
      <c r="F7">
        <f>D7*E7</f>
        <v/>
      </c>
    </row>
    <row r="8">
      <c r="A8" t="inlineStr">
        <is>
          <t>2026-04-23</t>
        </is>
      </c>
      <c r="B8" t="inlineStr">
        <is>
          <t>Overhead</t>
        </is>
      </c>
      <c r="C8" t="inlineStr">
        <is>
          <t>Uang Makan</t>
        </is>
      </c>
      <c r="D8" t="n">
        <v>1</v>
      </c>
      <c r="E8" t="n">
        <v>50000</v>
      </c>
      <c r="F8">
        <f>D8*E8</f>
        <v/>
      </c>
    </row>
    <row r="9">
      <c r="A9" t="inlineStr">
        <is>
          <t>2026-04-24</t>
        </is>
      </c>
      <c r="B9" t="inlineStr">
        <is>
          <t>Barang</t>
        </is>
      </c>
      <c r="C9" t="inlineStr">
        <is>
          <t>Baterai Alkaline 2+1</t>
        </is>
      </c>
      <c r="D9" t="n">
        <v>1</v>
      </c>
      <c r="E9" t="n">
        <v>22500</v>
      </c>
      <c r="F9">
        <f>D9*E9</f>
        <v/>
      </c>
    </row>
    <row r="10">
      <c r="A10" t="inlineStr">
        <is>
          <t>2026-04-24</t>
        </is>
      </c>
      <c r="B10" t="inlineStr">
        <is>
          <t>Barang</t>
        </is>
      </c>
      <c r="C10" t="inlineStr">
        <is>
          <t>Benang Jahit</t>
        </is>
      </c>
      <c r="D10" t="n">
        <v>1</v>
      </c>
      <c r="E10" t="n">
        <v>26000</v>
      </c>
      <c r="F10">
        <f>D10*E10</f>
        <v/>
      </c>
    </row>
    <row r="11">
      <c r="A11" t="inlineStr">
        <is>
          <t>2026-04-24</t>
        </is>
      </c>
      <c r="B11" t="inlineStr">
        <is>
          <t>Barang</t>
        </is>
      </c>
      <c r="C11" t="inlineStr">
        <is>
          <t>Tali Goni</t>
        </is>
      </c>
      <c r="D11" t="n">
        <v>1</v>
      </c>
      <c r="E11" t="n">
        <v>100000</v>
      </c>
      <c r="F11">
        <f>D11*E11</f>
        <v/>
      </c>
    </row>
    <row r="12">
      <c r="A12" t="inlineStr">
        <is>
          <t>2026-04-25</t>
        </is>
      </c>
      <c r="B12" t="inlineStr">
        <is>
          <t>Barang</t>
        </is>
      </c>
      <c r="C12" t="inlineStr">
        <is>
          <t>Plastik 15</t>
        </is>
      </c>
      <c r="D12" t="n">
        <v>4</v>
      </c>
      <c r="E12" t="n">
        <v>75000</v>
      </c>
      <c r="F12">
        <f>D12*E12</f>
        <v/>
      </c>
    </row>
    <row r="13">
      <c r="A13" t="inlineStr">
        <is>
          <t>2026-04-25</t>
        </is>
      </c>
      <c r="B13" t="inlineStr">
        <is>
          <t>Overhead</t>
        </is>
      </c>
      <c r="C13" t="inlineStr">
        <is>
          <t>Harian (pasukan)</t>
        </is>
      </c>
      <c r="D13" t="n">
        <v>1</v>
      </c>
      <c r="E13" t="n">
        <v>2441620</v>
      </c>
      <c r="F13">
        <f>D13*E13</f>
        <v/>
      </c>
    </row>
    <row r="14">
      <c r="A14" t="inlineStr">
        <is>
          <t>2026-04-25</t>
        </is>
      </c>
      <c r="B14" t="inlineStr">
        <is>
          <t>Overhead</t>
        </is>
      </c>
      <c r="C14" t="inlineStr">
        <is>
          <t>Borongan (Penjahit)</t>
        </is>
      </c>
      <c r="D14" t="n">
        <v>1</v>
      </c>
      <c r="E14" t="n">
        <v>1761300</v>
      </c>
      <c r="F14">
        <f>D14*E14</f>
        <v/>
      </c>
    </row>
    <row r="15">
      <c r="A15" t="inlineStr">
        <is>
          <t>2026-04-25</t>
        </is>
      </c>
      <c r="B15" t="inlineStr">
        <is>
          <t>Overhead</t>
        </is>
      </c>
      <c r="C15" t="inlineStr">
        <is>
          <t>Pengsup</t>
        </is>
      </c>
      <c r="D15" t="n">
        <v>1</v>
      </c>
      <c r="E15" t="n">
        <v>8867500</v>
      </c>
      <c r="F15">
        <f>D15*E15</f>
        <v/>
      </c>
    </row>
    <row r="16">
      <c r="A16" t="inlineStr">
        <is>
          <t>2026-04-27</t>
        </is>
      </c>
      <c r="B16" t="inlineStr">
        <is>
          <t>Overhead</t>
        </is>
      </c>
      <c r="C16" t="inlineStr">
        <is>
          <t>Uang Makan</t>
        </is>
      </c>
      <c r="D16" t="n">
        <v>1</v>
      </c>
      <c r="E16" t="n">
        <v>50000</v>
      </c>
      <c r="F16">
        <f>D16*E16</f>
        <v/>
      </c>
    </row>
    <row r="17">
      <c r="A17" t="inlineStr">
        <is>
          <t>2026-04-28</t>
        </is>
      </c>
      <c r="B17" t="inlineStr">
        <is>
          <t>Barang</t>
        </is>
      </c>
      <c r="C17" t="inlineStr">
        <is>
          <t>Meja Kerja</t>
        </is>
      </c>
      <c r="D17" t="n">
        <v>1</v>
      </c>
      <c r="E17" t="n">
        <v>1450000</v>
      </c>
      <c r="F17">
        <f>D17*E17</f>
        <v/>
      </c>
    </row>
    <row r="18">
      <c r="A18" t="inlineStr">
        <is>
          <t>2026-04-28</t>
        </is>
      </c>
      <c r="B18" t="inlineStr">
        <is>
          <t>Barang</t>
        </is>
      </c>
      <c r="C18" t="inlineStr">
        <is>
          <t>Kabel Listrik, dll</t>
        </is>
      </c>
      <c r="D18" t="n">
        <v>1</v>
      </c>
      <c r="E18" t="n">
        <v>220000</v>
      </c>
      <c r="F18">
        <f>D18*E18</f>
        <v/>
      </c>
    </row>
    <row r="19">
      <c r="A19" t="inlineStr">
        <is>
          <t>2026-04-28</t>
        </is>
      </c>
      <c r="B19" t="inlineStr">
        <is>
          <t>Barang</t>
        </is>
      </c>
      <c r="C19" t="inlineStr">
        <is>
          <t>Stop Kontak (Isi 1)</t>
        </is>
      </c>
      <c r="D19" t="n">
        <v>1</v>
      </c>
      <c r="E19" t="n">
        <v>13000</v>
      </c>
      <c r="F19">
        <f>D19*E19</f>
        <v/>
      </c>
    </row>
    <row r="20">
      <c r="A20" t="inlineStr">
        <is>
          <t>2026-04-28</t>
        </is>
      </c>
      <c r="B20" t="inlineStr">
        <is>
          <t>Barang</t>
        </is>
      </c>
      <c r="C20" t="inlineStr">
        <is>
          <t>Konektor RJ45</t>
        </is>
      </c>
      <c r="D20" t="n">
        <v>9</v>
      </c>
      <c r="E20" t="n">
        <v>3000</v>
      </c>
      <c r="F20">
        <f>D20*E20</f>
        <v/>
      </c>
    </row>
    <row r="21">
      <c r="A21" t="inlineStr">
        <is>
          <t>2026-04-28</t>
        </is>
      </c>
      <c r="B21" t="inlineStr">
        <is>
          <t>Utilitas</t>
        </is>
      </c>
      <c r="C21" t="inlineStr">
        <is>
          <t>Belanja Benang</t>
        </is>
      </c>
      <c r="D21" t="n">
        <v>1</v>
      </c>
      <c r="E21" t="n">
        <v>126500</v>
      </c>
      <c r="F21">
        <f>D21*E21</f>
        <v/>
      </c>
    </row>
    <row r="22">
      <c r="A22" t="inlineStr">
        <is>
          <t>2026-04-28</t>
        </is>
      </c>
      <c r="B22" t="inlineStr">
        <is>
          <t>Barang</t>
        </is>
      </c>
      <c r="C22" t="inlineStr">
        <is>
          <t>Kabel LAN Belden Cat6</t>
        </is>
      </c>
      <c r="D22" t="n">
        <v>4</v>
      </c>
      <c r="E22" t="n">
        <v>6500</v>
      </c>
      <c r="F22">
        <f>D22*E22</f>
        <v/>
      </c>
    </row>
    <row r="23">
      <c r="A23" t="inlineStr">
        <is>
          <t>2026-04-28</t>
        </is>
      </c>
      <c r="B23" t="inlineStr">
        <is>
          <t>Barang</t>
        </is>
      </c>
      <c r="C23" t="inlineStr">
        <is>
          <t>Barel LAN</t>
        </is>
      </c>
      <c r="D23" t="n">
        <v>1</v>
      </c>
      <c r="E23" t="n">
        <v>15000</v>
      </c>
      <c r="F23">
        <f>D23*E23</f>
        <v/>
      </c>
    </row>
    <row r="24">
      <c r="A24" t="inlineStr">
        <is>
          <t>2026-04-28</t>
        </is>
      </c>
      <c r="B24" t="inlineStr">
        <is>
          <t>Barang</t>
        </is>
      </c>
      <c r="C24" t="inlineStr">
        <is>
          <t>Converter VGA to HDMI</t>
        </is>
      </c>
      <c r="D24" t="n">
        <v>1</v>
      </c>
      <c r="E24" t="n">
        <v>75000</v>
      </c>
      <c r="F24">
        <f>D24*E24</f>
        <v/>
      </c>
    </row>
    <row r="25">
      <c r="A25" t="inlineStr">
        <is>
          <t>2026-04-28</t>
        </is>
      </c>
      <c r="B25" t="inlineStr">
        <is>
          <t>Barang</t>
        </is>
      </c>
      <c r="C25" t="inlineStr">
        <is>
          <t>Kabel HDMI 1.5m</t>
        </is>
      </c>
      <c r="D25" t="n">
        <v>1</v>
      </c>
      <c r="E25" t="n">
        <v>46000</v>
      </c>
      <c r="F25">
        <f>D25*E25</f>
        <v/>
      </c>
    </row>
    <row r="26">
      <c r="A26" t="inlineStr">
        <is>
          <t>2026-04-28</t>
        </is>
      </c>
      <c r="B26" t="inlineStr">
        <is>
          <t>Barang</t>
        </is>
      </c>
      <c r="C26" t="inlineStr">
        <is>
          <t>Kabel Ties 10 cm</t>
        </is>
      </c>
      <c r="D26" t="n">
        <v>1</v>
      </c>
      <c r="E26" t="n">
        <v>5000</v>
      </c>
      <c r="F26">
        <f>D26*E26</f>
        <v/>
      </c>
    </row>
    <row r="27">
      <c r="A27" t="inlineStr">
        <is>
          <t>2026-04-28</t>
        </is>
      </c>
      <c r="B27" t="inlineStr">
        <is>
          <t>Barang</t>
        </is>
      </c>
      <c r="C27" t="inlineStr">
        <is>
          <t>Pengiriman Sampel Produk</t>
        </is>
      </c>
      <c r="D27" t="n">
        <v>1</v>
      </c>
      <c r="E27" t="n">
        <v>116000</v>
      </c>
      <c r="F27">
        <f>D27*E27</f>
        <v/>
      </c>
    </row>
    <row r="28">
      <c r="A28" t="inlineStr">
        <is>
          <t>2026-04-29</t>
        </is>
      </c>
      <c r="B28" t="inlineStr">
        <is>
          <t>Barang</t>
        </is>
      </c>
      <c r="C28" t="inlineStr">
        <is>
          <t>Polymailer 17x30</t>
        </is>
      </c>
      <c r="D28" t="n">
        <v>4</v>
      </c>
      <c r="E28" t="n">
        <v>632200</v>
      </c>
      <c r="F28">
        <f>D28*E28</f>
        <v/>
      </c>
    </row>
    <row r="29">
      <c r="A29" t="inlineStr">
        <is>
          <t>2026-04-29</t>
        </is>
      </c>
      <c r="B29" t="inlineStr">
        <is>
          <t>Barang</t>
        </is>
      </c>
      <c r="C29" t="inlineStr">
        <is>
          <t>Polymailer 20x30</t>
        </is>
      </c>
      <c r="D29" t="n">
        <v>1</v>
      </c>
      <c r="E29" t="n">
        <v>1212650</v>
      </c>
      <c r="F29">
        <f>D29*E29</f>
        <v/>
      </c>
    </row>
    <row r="30">
      <c r="A30" t="inlineStr">
        <is>
          <t>2026-04-29</t>
        </is>
      </c>
      <c r="B30" t="inlineStr">
        <is>
          <t>Barang</t>
        </is>
      </c>
      <c r="C30" t="inlineStr">
        <is>
          <t>Polymailer 25x35</t>
        </is>
      </c>
      <c r="D30" t="n">
        <v>1</v>
      </c>
      <c r="E30" t="n">
        <v>1664360</v>
      </c>
      <c r="F30">
        <f>D30*E30</f>
        <v/>
      </c>
    </row>
    <row r="31">
      <c r="A31" t="inlineStr">
        <is>
          <t>2026-04-29</t>
        </is>
      </c>
      <c r="B31" t="inlineStr">
        <is>
          <t>Barang</t>
        </is>
      </c>
      <c r="C31" t="inlineStr">
        <is>
          <t>Polymailer 30x40</t>
        </is>
      </c>
      <c r="D31" t="n">
        <v>1</v>
      </c>
      <c r="E31" t="n">
        <v>1624140</v>
      </c>
      <c r="F31">
        <f>D31*E31</f>
        <v/>
      </c>
    </row>
    <row r="32">
      <c r="A32" t="inlineStr">
        <is>
          <t>2026-05-02</t>
        </is>
      </c>
      <c r="B32" t="inlineStr">
        <is>
          <t>Barang</t>
        </is>
      </c>
      <c r="C32" t="inlineStr">
        <is>
          <t>Ongkir Plastik</t>
        </is>
      </c>
      <c r="D32" t="n">
        <v>1</v>
      </c>
      <c r="E32" t="n">
        <v>375000</v>
      </c>
      <c r="F32">
        <f>D32*E32</f>
        <v/>
      </c>
    </row>
    <row r="33">
      <c r="A33" t="inlineStr">
        <is>
          <t>2026-05-02</t>
        </is>
      </c>
      <c r="B33" t="inlineStr">
        <is>
          <t>Utilitas</t>
        </is>
      </c>
      <c r="C33" t="inlineStr">
        <is>
          <t>Langganan Bigseller</t>
        </is>
      </c>
      <c r="D33" t="n">
        <v>1</v>
      </c>
      <c r="E33" t="n">
        <v>7452097</v>
      </c>
      <c r="F33">
        <f>D33*E33</f>
        <v/>
      </c>
    </row>
    <row r="34">
      <c r="A34" t="inlineStr">
        <is>
          <t>2026-05-02</t>
        </is>
      </c>
      <c r="B34" t="inlineStr">
        <is>
          <t>Barang</t>
        </is>
      </c>
      <c r="C34" t="inlineStr">
        <is>
          <t>Penghapus Papan Tulis</t>
        </is>
      </c>
      <c r="D34" t="n">
        <v>1</v>
      </c>
      <c r="E34" t="n">
        <v>5500</v>
      </c>
      <c r="F34">
        <f>D34*E34</f>
        <v/>
      </c>
    </row>
    <row r="35">
      <c r="A35" t="inlineStr">
        <is>
          <t>2026-05-02</t>
        </is>
      </c>
      <c r="B35" t="inlineStr">
        <is>
          <t>Barang</t>
        </is>
      </c>
      <c r="C35" t="inlineStr">
        <is>
          <t>Spidol Snowman Hitam</t>
        </is>
      </c>
      <c r="D35" t="n">
        <v>2</v>
      </c>
      <c r="E35" t="n">
        <v>7000</v>
      </c>
      <c r="F35">
        <f>D35*E35</f>
        <v/>
      </c>
    </row>
    <row r="36">
      <c r="A36" t="inlineStr">
        <is>
          <t>2026-05-02</t>
        </is>
      </c>
      <c r="B36" t="inlineStr">
        <is>
          <t>Barang</t>
        </is>
      </c>
      <c r="C36" t="inlineStr">
        <is>
          <t>Label GoldenCock</t>
        </is>
      </c>
      <c r="D36" t="n">
        <v>25</v>
      </c>
      <c r="E36" t="n">
        <v>3200</v>
      </c>
      <c r="F36">
        <f>D36*E36</f>
        <v/>
      </c>
    </row>
    <row r="37">
      <c r="A37" t="inlineStr">
        <is>
          <t>2026-05-02</t>
        </is>
      </c>
      <c r="B37" t="inlineStr">
        <is>
          <t>Barang</t>
        </is>
      </c>
      <c r="C37" t="inlineStr">
        <is>
          <t>Baterai Alkaline AAA isi 2</t>
        </is>
      </c>
      <c r="D37" t="n">
        <v>1</v>
      </c>
      <c r="E37" t="n">
        <v>13000</v>
      </c>
      <c r="F37">
        <f>D37*E37</f>
        <v/>
      </c>
    </row>
    <row r="38">
      <c r="A38" t="inlineStr">
        <is>
          <t>2026-05-02</t>
        </is>
      </c>
      <c r="B38" t="inlineStr">
        <is>
          <t>Barang</t>
        </is>
      </c>
      <c r="C38" t="inlineStr">
        <is>
          <t>Pen Meja Trifelo</t>
        </is>
      </c>
      <c r="D38" t="n">
        <v>2</v>
      </c>
      <c r="E38" t="n">
        <v>6000</v>
      </c>
      <c r="F38">
        <f>D38*E38</f>
        <v/>
      </c>
    </row>
    <row r="39">
      <c r="A39" t="inlineStr">
        <is>
          <t>2026-05-02</t>
        </is>
      </c>
      <c r="B39" t="inlineStr">
        <is>
          <t>Barang</t>
        </is>
      </c>
      <c r="C39" t="inlineStr">
        <is>
          <t>Papan Tulis 50x70</t>
        </is>
      </c>
      <c r="D39" t="n">
        <v>1</v>
      </c>
      <c r="E39" t="n">
        <v>29000</v>
      </c>
      <c r="F39">
        <f>D39*E39</f>
        <v/>
      </c>
    </row>
    <row r="40">
      <c r="A40" t="inlineStr">
        <is>
          <t>2026-05-05</t>
        </is>
      </c>
      <c r="B40" t="inlineStr">
        <is>
          <t>Barang</t>
        </is>
      </c>
      <c r="C40" t="inlineStr">
        <is>
          <t>Benang Jahit</t>
        </is>
      </c>
      <c r="D40" t="n">
        <v>1</v>
      </c>
      <c r="E40" t="n">
        <v>45000</v>
      </c>
      <c r="F40">
        <f>D40*E40</f>
        <v/>
      </c>
    </row>
    <row r="41">
      <c r="A41" t="inlineStr">
        <is>
          <t>2026-05-08</t>
        </is>
      </c>
      <c r="B41" t="inlineStr">
        <is>
          <t>Barang</t>
        </is>
      </c>
      <c r="C41" t="inlineStr">
        <is>
          <t>Tinta Printer Hitam</t>
        </is>
      </c>
      <c r="D41" t="n">
        <v>1</v>
      </c>
      <c r="E41" t="n">
        <v>100000</v>
      </c>
      <c r="F41">
        <f>D41*E41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zoomScaleNormal="100" workbookViewId="0">
      <selection activeCell="C13" sqref="C13"/>
    </sheetView>
  </sheetViews>
  <sheetFormatPr baseColWidth="8" defaultRowHeight="15"/>
  <cols>
    <col width="12" customWidth="1" style="2" min="1" max="1"/>
    <col width="17" customWidth="1" style="3" min="2" max="2"/>
    <col width="19.5703125" customWidth="1" style="3" min="3" max="3"/>
    <col width="9.140625" customWidth="1" style="4" min="4" max="4"/>
    <col width="15" customWidth="1" style="8" min="5" max="5"/>
    <col width="15.42578125" customWidth="1" style="8" min="6" max="6"/>
    <col width="11.42578125" customWidth="1" style="1" min="7" max="7"/>
  </cols>
  <sheetData>
    <row r="1" ht="15" customHeight="1" s="35">
      <c r="A1" s="5" t="inlineStr">
        <is>
          <t>Tanggal</t>
        </is>
      </c>
      <c r="B1" s="6" t="inlineStr">
        <is>
          <t>Nama</t>
        </is>
      </c>
      <c r="C1" s="6" t="inlineStr">
        <is>
          <t>SKU</t>
        </is>
      </c>
      <c r="D1" s="7" t="inlineStr">
        <is>
          <t>Jumlah</t>
        </is>
      </c>
      <c r="E1" s="9" t="inlineStr">
        <is>
          <t>Harga Satuan</t>
        </is>
      </c>
      <c r="F1" s="9" t="inlineStr">
        <is>
          <t>Total</t>
        </is>
      </c>
      <c r="G1" s="10" t="inlineStr">
        <is>
          <t>Sudah Bayar</t>
        </is>
      </c>
    </row>
    <row r="2">
      <c r="A2" t="inlineStr">
        <is>
          <t>2026-04-20</t>
        </is>
      </c>
      <c r="B2" t="inlineStr">
        <is>
          <t>Kak Imam</t>
        </is>
      </c>
      <c r="C2" t="inlineStr">
        <is>
          <t>DG-M</t>
        </is>
      </c>
      <c r="D2" t="n">
        <v>76</v>
      </c>
      <c r="E2">
        <f>VLOOKUP(C2, SKU_Induk!$A$2:$B$1000, 2, FALSE)</f>
        <v/>
      </c>
      <c r="F2">
        <f>D2*E2</f>
        <v/>
      </c>
      <c r="G2" t="n">
        <v>0</v>
      </c>
    </row>
    <row r="3">
      <c r="A3" t="inlineStr">
        <is>
          <t>2026-04-20</t>
        </is>
      </c>
      <c r="B3" t="inlineStr">
        <is>
          <t>Kak Imam</t>
        </is>
      </c>
      <c r="C3" t="inlineStr">
        <is>
          <t>JSO</t>
        </is>
      </c>
      <c r="D3" t="n">
        <v>6</v>
      </c>
      <c r="E3">
        <f>VLOOKUP(C3, SKU_Induk!$A$2:$B$1000, 2, FALSE)</f>
        <v/>
      </c>
      <c r="F3">
        <f>D3*E3</f>
        <v/>
      </c>
      <c r="G3" t="n">
        <v>0</v>
      </c>
    </row>
    <row r="4">
      <c r="A4" t="inlineStr">
        <is>
          <t>2026-04-20</t>
        </is>
      </c>
      <c r="B4" t="inlineStr">
        <is>
          <t>Kak Imam</t>
        </is>
      </c>
      <c r="C4" t="inlineStr">
        <is>
          <t>SA-L</t>
        </is>
      </c>
      <c r="D4" t="n">
        <v>8</v>
      </c>
      <c r="E4">
        <f>VLOOKUP(C4, SKU_Induk!$A$2:$B$1000, 2, FALSE)</f>
        <v/>
      </c>
      <c r="F4">
        <f>D4*E4</f>
        <v/>
      </c>
      <c r="G4" t="n">
        <v>0</v>
      </c>
    </row>
    <row r="5">
      <c r="A5" t="inlineStr">
        <is>
          <t>2026-04-21</t>
        </is>
      </c>
      <c r="B5" t="inlineStr">
        <is>
          <t>Kak Imam</t>
        </is>
      </c>
      <c r="C5" t="inlineStr">
        <is>
          <t>DG-M</t>
        </is>
      </c>
      <c r="D5" t="n">
        <v>80</v>
      </c>
      <c r="E5">
        <f>VLOOKUP(C5, SKU_Induk!$A$2:$B$1000, 2, FALSE)</f>
        <v/>
      </c>
      <c r="F5">
        <f>D5*E5</f>
        <v/>
      </c>
      <c r="G5" t="n">
        <v>0</v>
      </c>
    </row>
    <row r="6">
      <c r="A6" t="inlineStr">
        <is>
          <t>2026-04-22</t>
        </is>
      </c>
      <c r="B6" t="inlineStr">
        <is>
          <t>Kak Imam</t>
        </is>
      </c>
      <c r="C6" t="inlineStr">
        <is>
          <t>DG-M</t>
        </is>
      </c>
      <c r="D6" t="n">
        <v>55</v>
      </c>
      <c r="E6">
        <f>VLOOKUP(C6, SKU_Induk!$A$2:$B$1000, 2, FALSE)</f>
        <v/>
      </c>
      <c r="F6">
        <f>D6*E6</f>
        <v/>
      </c>
      <c r="G6" t="n">
        <v>0</v>
      </c>
    </row>
    <row r="7">
      <c r="A7" t="inlineStr">
        <is>
          <t>2026-04-22</t>
        </is>
      </c>
      <c r="B7" t="inlineStr">
        <is>
          <t>Kak Imam</t>
        </is>
      </c>
      <c r="C7" t="inlineStr">
        <is>
          <t>SA-L</t>
        </is>
      </c>
      <c r="D7" t="n">
        <v>2</v>
      </c>
      <c r="E7">
        <f>VLOOKUP(C7, SKU_Induk!$A$2:$B$1000, 2, FALSE)</f>
        <v/>
      </c>
      <c r="F7">
        <f>D7*E7</f>
        <v/>
      </c>
      <c r="G7" t="n">
        <v>0</v>
      </c>
    </row>
    <row r="8">
      <c r="A8" t="inlineStr">
        <is>
          <t>2026-04-25</t>
        </is>
      </c>
      <c r="B8" t="inlineStr">
        <is>
          <t>Kak Yudi</t>
        </is>
      </c>
      <c r="C8" t="inlineStr">
        <is>
          <t>JSO</t>
        </is>
      </c>
      <c r="D8" t="n">
        <v>8</v>
      </c>
      <c r="E8">
        <f>VLOOKUP(C8, SKU_Induk!$A$2:$B$1000, 2, FALSE)</f>
        <v/>
      </c>
      <c r="F8">
        <f>D8*E8</f>
        <v/>
      </c>
      <c r="G8" t="n">
        <v>104000</v>
      </c>
    </row>
    <row r="9">
      <c r="A9" t="inlineStr">
        <is>
          <t>2026-04-27</t>
        </is>
      </c>
      <c r="B9" t="inlineStr">
        <is>
          <t>Kak Imam</t>
        </is>
      </c>
      <c r="C9" t="inlineStr">
        <is>
          <t>DG-M</t>
        </is>
      </c>
      <c r="D9" t="n">
        <v>10</v>
      </c>
      <c r="E9">
        <f>VLOOKUP(C9, SKU_Induk!$A$2:$B$1000, 2, FALSE)</f>
        <v/>
      </c>
      <c r="F9">
        <f>D9*E9</f>
        <v/>
      </c>
      <c r="G9" t="n">
        <v>99000</v>
      </c>
    </row>
    <row r="10">
      <c r="A10" t="inlineStr">
        <is>
          <t>2026-04-27</t>
        </is>
      </c>
      <c r="B10" t="inlineStr">
        <is>
          <t>Kak Imam</t>
        </is>
      </c>
      <c r="C10" t="inlineStr">
        <is>
          <t>JSO</t>
        </is>
      </c>
      <c r="D10" t="n">
        <v>3</v>
      </c>
      <c r="E10">
        <f>VLOOKUP(C10, SKU_Induk!$A$2:$B$1000, 2, FALSE)</f>
        <v/>
      </c>
      <c r="F10">
        <f>D10*E10</f>
        <v/>
      </c>
      <c r="G10" t="n">
        <v>78000</v>
      </c>
    </row>
    <row r="11">
      <c r="A11" t="inlineStr">
        <is>
          <t>2026-04-25</t>
        </is>
      </c>
      <c r="B11" t="inlineStr">
        <is>
          <t>Kak Imam</t>
        </is>
      </c>
      <c r="C11" t="inlineStr">
        <is>
          <t>DG-M</t>
        </is>
      </c>
      <c r="D11" t="n">
        <v>37</v>
      </c>
      <c r="E11">
        <f>VLOOKUP(C11, SKU_Induk!$A$2:$B$1000, 2, FALSE)</f>
        <v/>
      </c>
      <c r="F11">
        <f>D11*E11</f>
        <v/>
      </c>
      <c r="G11" t="n">
        <v>286000</v>
      </c>
    </row>
    <row r="12">
      <c r="A12" t="inlineStr">
        <is>
          <t>2026-04-22</t>
        </is>
      </c>
      <c r="B12" t="inlineStr">
        <is>
          <t>Kak Imam</t>
        </is>
      </c>
      <c r="C12" t="inlineStr">
        <is>
          <t>Kertas Resi</t>
        </is>
      </c>
      <c r="D12" t="n">
        <v>1</v>
      </c>
      <c r="E12">
        <f>VLOOKUP(C12, SKU_Induk!$A$2:$B$1000, 2, FALSE)</f>
        <v/>
      </c>
      <c r="F12">
        <f>D12*E12</f>
        <v/>
      </c>
      <c r="G12" t="n">
        <v>165000</v>
      </c>
    </row>
    <row r="13">
      <c r="A13" t="inlineStr">
        <is>
          <t>2026-04-27</t>
        </is>
      </c>
      <c r="B13" t="inlineStr">
        <is>
          <t>Kak Yudi</t>
        </is>
      </c>
      <c r="C13" t="inlineStr">
        <is>
          <t>Kertas Resi</t>
        </is>
      </c>
      <c r="D13" t="n">
        <v>3</v>
      </c>
      <c r="E13">
        <f>VLOOKUP(C13, SKU_Induk!$A$2:$B$1000, 2, FALSE)</f>
        <v/>
      </c>
      <c r="F13">
        <f>D13*E13</f>
        <v/>
      </c>
      <c r="G13" t="n">
        <v>99000</v>
      </c>
    </row>
    <row r="14">
      <c r="A14" t="inlineStr">
        <is>
          <t>2026-04-29</t>
        </is>
      </c>
      <c r="B14" t="inlineStr">
        <is>
          <t>Kak Yudi</t>
        </is>
      </c>
      <c r="C14" t="inlineStr">
        <is>
          <t>JSO</t>
        </is>
      </c>
      <c r="D14" t="n">
        <v>6</v>
      </c>
      <c r="E14">
        <f>VLOOKUP(C14, SKU_Induk!$A$2:$B$1000, 2, FALSE)</f>
        <v/>
      </c>
      <c r="F14">
        <f>D14*E14</f>
        <v/>
      </c>
      <c r="G14" t="n">
        <v>78000</v>
      </c>
    </row>
    <row r="15">
      <c r="A15" t="inlineStr">
        <is>
          <t>2026-04-30</t>
        </is>
      </c>
      <c r="B15" t="inlineStr">
        <is>
          <t>Kak Imam</t>
        </is>
      </c>
      <c r="C15" t="inlineStr">
        <is>
          <t>DG-M</t>
        </is>
      </c>
      <c r="D15" t="n">
        <v>30</v>
      </c>
      <c r="E15">
        <f>VLOOKUP(C15, SKU_Induk!$A$2:$B$1000, 2, FALSE)</f>
        <v/>
      </c>
      <c r="F15" t="n">
        <v>0</v>
      </c>
      <c r="G15" t="n">
        <v>0</v>
      </c>
    </row>
    <row r="16">
      <c r="A16" t="inlineStr">
        <is>
          <t>2026-04-30</t>
        </is>
      </c>
      <c r="B16" t="inlineStr">
        <is>
          <t>Kak Imam</t>
        </is>
      </c>
      <c r="C16" t="inlineStr">
        <is>
          <t>JSO</t>
        </is>
      </c>
      <c r="D16" t="n">
        <v>3</v>
      </c>
      <c r="E16">
        <f>VLOOKUP(C16, SKU_Induk!$A$2:$B$1000, 2, FALSE)</f>
        <v/>
      </c>
      <c r="F16" t="n">
        <v>0</v>
      </c>
      <c r="G16" t="n">
        <v>0</v>
      </c>
    </row>
    <row r="17">
      <c r="A17" t="inlineStr">
        <is>
          <t>2026-05-04</t>
        </is>
      </c>
      <c r="B17" t="inlineStr">
        <is>
          <t>Kaji Yudi</t>
        </is>
      </c>
      <c r="C17" t="inlineStr">
        <is>
          <t>DG-M</t>
        </is>
      </c>
      <c r="D17" t="n">
        <v>50</v>
      </c>
      <c r="E17">
        <f>VLOOKUP(C17, SKU_Induk!$A$2:$B$1000, 2, FALSE)</f>
        <v/>
      </c>
      <c r="F17" t="n">
        <v>0</v>
      </c>
      <c r="G17" t="n">
        <v>0</v>
      </c>
    </row>
    <row r="18">
      <c r="A18" t="inlineStr">
        <is>
          <t>2026-05-04</t>
        </is>
      </c>
      <c r="B18" t="inlineStr">
        <is>
          <t>Kak Imam</t>
        </is>
      </c>
      <c r="C18" t="inlineStr">
        <is>
          <t>DG-M</t>
        </is>
      </c>
      <c r="D18" t="n">
        <v>63</v>
      </c>
      <c r="E18">
        <f>VLOOKUP(C18, SKU_Induk!$A$2:$B$1000, 2, FALSE)</f>
        <v/>
      </c>
      <c r="F18" t="n">
        <v>0</v>
      </c>
      <c r="G18" t="n">
        <v>0</v>
      </c>
    </row>
    <row r="19">
      <c r="A19" t="inlineStr">
        <is>
          <t>2026-05-04</t>
        </is>
      </c>
      <c r="B19" t="inlineStr">
        <is>
          <t>Kak Imam</t>
        </is>
      </c>
      <c r="C19" t="inlineStr">
        <is>
          <t>JSO</t>
        </is>
      </c>
      <c r="D19" t="n">
        <v>2</v>
      </c>
      <c r="E19">
        <f>VLOOKUP(C19, SKU_Induk!$A$2:$B$1000, 2, FALSE)</f>
        <v/>
      </c>
      <c r="F19" t="n">
        <v>0</v>
      </c>
      <c r="G19" t="n">
        <v>0</v>
      </c>
    </row>
    <row r="20">
      <c r="A20" t="inlineStr">
        <is>
          <t>2026-05-04</t>
        </is>
      </c>
      <c r="B20" t="inlineStr">
        <is>
          <t>Kak Imam</t>
        </is>
      </c>
      <c r="C20" t="inlineStr">
        <is>
          <t>DG-M</t>
        </is>
      </c>
      <c r="D20" t="n">
        <v>53</v>
      </c>
      <c r="E20">
        <f>VLOOKUP(C20, SKU_Induk!$A$2:$B$1000, 2, FALSE)</f>
        <v/>
      </c>
      <c r="F20" t="n">
        <v>0</v>
      </c>
      <c r="G20" t="n">
        <v>0</v>
      </c>
    </row>
    <row r="21">
      <c r="A21" t="inlineStr">
        <is>
          <t>2026-05-05</t>
        </is>
      </c>
      <c r="B21" t="inlineStr">
        <is>
          <t>Kak Imam</t>
        </is>
      </c>
      <c r="C21" t="inlineStr">
        <is>
          <t>DG-M</t>
        </is>
      </c>
      <c r="D21" t="n">
        <v>110</v>
      </c>
      <c r="E21">
        <f>VLOOKUP(C21, SKU_Induk!$A$2:$B$1000, 2, FALSE)</f>
        <v/>
      </c>
      <c r="F21" t="n">
        <v>0</v>
      </c>
      <c r="G21" t="n">
        <v>0</v>
      </c>
    </row>
    <row r="22">
      <c r="A22" t="inlineStr">
        <is>
          <t>2026-05-05</t>
        </is>
      </c>
      <c r="B22" t="inlineStr">
        <is>
          <t>Kak Imam</t>
        </is>
      </c>
      <c r="C22" t="inlineStr">
        <is>
          <t>JSO</t>
        </is>
      </c>
      <c r="D22" t="n">
        <v>13</v>
      </c>
      <c r="E22">
        <f>VLOOKUP(C22, SKU_Induk!$A$2:$B$1000, 2, FALSE)</f>
        <v/>
      </c>
      <c r="F22" t="n">
        <v>0</v>
      </c>
      <c r="G22" t="n">
        <v>0</v>
      </c>
    </row>
    <row r="23">
      <c r="A23" t="inlineStr">
        <is>
          <t>2026-05-05</t>
        </is>
      </c>
      <c r="B23" t="inlineStr">
        <is>
          <t>Kak Imam</t>
        </is>
      </c>
      <c r="C23" t="inlineStr">
        <is>
          <t>Plastik Packing Hitam</t>
        </is>
      </c>
      <c r="D23" t="n">
        <v>2</v>
      </c>
      <c r="E23">
        <f>VLOOKUP(C23, SKU_Induk!$A$2:$B$1000, 2, FALSE)</f>
        <v/>
      </c>
      <c r="F23" t="n">
        <v>0</v>
      </c>
      <c r="G23" t="n">
        <v>0</v>
      </c>
    </row>
    <row r="24">
      <c r="A24" t="inlineStr">
        <is>
          <t>2026-05-06</t>
        </is>
      </c>
      <c r="B24" t="inlineStr">
        <is>
          <t>Kak Imam</t>
        </is>
      </c>
      <c r="C24" t="inlineStr">
        <is>
          <t>DG-M</t>
        </is>
      </c>
      <c r="D24" t="n">
        <v>34</v>
      </c>
      <c r="E24">
        <f>VLOOKUP(C24, SKU_Induk!$A$2:$B$1000, 2, FALSE)</f>
        <v/>
      </c>
      <c r="F24" t="n">
        <v>0</v>
      </c>
      <c r="G24" t="n">
        <v>0</v>
      </c>
    </row>
    <row r="25">
      <c r="A25" t="inlineStr">
        <is>
          <t>2026-05-06</t>
        </is>
      </c>
      <c r="B25" t="inlineStr">
        <is>
          <t>Kak Imam</t>
        </is>
      </c>
      <c r="C25" t="inlineStr">
        <is>
          <t>JSO</t>
        </is>
      </c>
      <c r="D25" t="n">
        <v>2</v>
      </c>
      <c r="E25">
        <f>VLOOKUP(C25, SKU_Induk!$A$2:$B$1000, 2, FALSE)</f>
        <v/>
      </c>
      <c r="F25" t="n">
        <v>0</v>
      </c>
      <c r="G25" t="n">
        <v>0</v>
      </c>
    </row>
    <row r="26">
      <c r="A26" t="inlineStr">
        <is>
          <t>2026-05-06</t>
        </is>
      </c>
      <c r="B26" t="inlineStr">
        <is>
          <t>Kak Imam</t>
        </is>
      </c>
      <c r="C26" t="inlineStr">
        <is>
          <t>S3</t>
        </is>
      </c>
      <c r="D26" t="n">
        <v>1</v>
      </c>
      <c r="E26">
        <f>VLOOKUP(C26, SKU_Induk!$A$2:$B$1000, 2, FALSE)</f>
        <v/>
      </c>
      <c r="F26" t="n">
        <v>0</v>
      </c>
      <c r="G26" t="n">
        <v>0</v>
      </c>
    </row>
    <row r="27">
      <c r="A27" t="inlineStr">
        <is>
          <t>2026-05-07</t>
        </is>
      </c>
      <c r="B27" t="inlineStr">
        <is>
          <t>Kak Yudi</t>
        </is>
      </c>
      <c r="C27" t="inlineStr">
        <is>
          <t>JSO</t>
        </is>
      </c>
      <c r="D27" t="n">
        <v>22</v>
      </c>
      <c r="E27" t="n">
        <v>13000</v>
      </c>
      <c r="F27" t="n">
        <v>286000</v>
      </c>
      <c r="G27" t="n">
        <v>286000</v>
      </c>
    </row>
    <row r="28">
      <c r="A28" t="inlineStr">
        <is>
          <t>2026-05-07</t>
        </is>
      </c>
      <c r="B28" t="inlineStr">
        <is>
          <t>Kak Yudi</t>
        </is>
      </c>
      <c r="C28" t="inlineStr">
        <is>
          <t>Kertas Resi</t>
        </is>
      </c>
      <c r="D28" t="n">
        <v>5</v>
      </c>
      <c r="E28" t="n">
        <v>33000</v>
      </c>
      <c r="F28" t="n">
        <v>165000</v>
      </c>
      <c r="G28" t="n">
        <v>165000</v>
      </c>
    </row>
    <row r="29">
      <c r="A29" t="inlineStr">
        <is>
          <t>2026-05-07</t>
        </is>
      </c>
      <c r="B29" t="inlineStr">
        <is>
          <t>Kak Imam</t>
        </is>
      </c>
      <c r="C29" t="inlineStr">
        <is>
          <t>DG-M</t>
        </is>
      </c>
      <c r="D29" t="n">
        <v>20</v>
      </c>
      <c r="E29" t="n">
        <v>10000</v>
      </c>
      <c r="F29" t="n">
        <v>200000</v>
      </c>
      <c r="G29" t="n">
        <v>0</v>
      </c>
    </row>
    <row r="30">
      <c r="A30" t="inlineStr">
        <is>
          <t>2026-05-07</t>
        </is>
      </c>
      <c r="B30" t="inlineStr">
        <is>
          <t>Kak Imam</t>
        </is>
      </c>
      <c r="C30" t="inlineStr">
        <is>
          <t>SA-L</t>
        </is>
      </c>
      <c r="D30" t="n">
        <v>6</v>
      </c>
      <c r="E30" t="n">
        <v>8000</v>
      </c>
      <c r="F30" t="n">
        <v>48000</v>
      </c>
      <c r="G30" t="n">
        <v>0</v>
      </c>
    </row>
    <row r="31">
      <c r="A31" t="inlineStr">
        <is>
          <t>2026-05-07</t>
        </is>
      </c>
      <c r="B31" t="inlineStr">
        <is>
          <t>Kak Imam</t>
        </is>
      </c>
      <c r="C31" t="inlineStr">
        <is>
          <t>JSO</t>
        </is>
      </c>
      <c r="D31" t="n">
        <v>8</v>
      </c>
      <c r="E31" t="n">
        <v>13000</v>
      </c>
      <c r="F31" t="n">
        <v>104000</v>
      </c>
      <c r="G31" t="n">
        <v>0</v>
      </c>
    </row>
    <row r="32">
      <c r="A32" t="inlineStr">
        <is>
          <t>2026-05-08</t>
        </is>
      </c>
      <c r="B32" t="inlineStr">
        <is>
          <t>Kak Imam</t>
        </is>
      </c>
      <c r="C32" t="inlineStr">
        <is>
          <t>DG-M</t>
        </is>
      </c>
      <c r="D32" t="n">
        <v>50</v>
      </c>
      <c r="E32" t="n">
        <v>10000</v>
      </c>
      <c r="F32" t="n">
        <v>500000</v>
      </c>
      <c r="G32" t="n">
        <v>0</v>
      </c>
    </row>
    <row r="33">
      <c r="A33" t="inlineStr">
        <is>
          <t>2026-05-08</t>
        </is>
      </c>
      <c r="B33" t="inlineStr">
        <is>
          <t>Kak Imam</t>
        </is>
      </c>
      <c r="C33" t="inlineStr">
        <is>
          <t>JSO</t>
        </is>
      </c>
      <c r="D33" t="n">
        <v>2</v>
      </c>
      <c r="E33" t="n">
        <v>13000</v>
      </c>
      <c r="F33" t="n">
        <v>26000</v>
      </c>
      <c r="G33" t="n">
        <v>0</v>
      </c>
    </row>
    <row r="34">
      <c r="A34" t="inlineStr">
        <is>
          <t>2026-05-08</t>
        </is>
      </c>
      <c r="B34" t="inlineStr">
        <is>
          <t>Kak Imam</t>
        </is>
      </c>
      <c r="C34" t="inlineStr">
        <is>
          <t>SA-L</t>
        </is>
      </c>
      <c r="D34" t="n">
        <v>1</v>
      </c>
      <c r="E34" t="n">
        <v>8000</v>
      </c>
      <c r="F34" t="n">
        <v>8000</v>
      </c>
      <c r="G34" t="n">
        <v>0</v>
      </c>
    </row>
    <row r="35">
      <c r="A35" t="inlineStr">
        <is>
          <t>2026-05-08</t>
        </is>
      </c>
      <c r="B35" t="inlineStr">
        <is>
          <t>Kak Imam</t>
        </is>
      </c>
      <c r="C35" t="inlineStr">
        <is>
          <t>S3</t>
        </is>
      </c>
      <c r="D35" t="n">
        <v>2</v>
      </c>
      <c r="E35" t="n">
        <v>10000</v>
      </c>
      <c r="F35" t="n">
        <v>20000</v>
      </c>
      <c r="G35" t="n">
        <v>0</v>
      </c>
    </row>
  </sheetData>
  <autoFilter ref="A1:G31"/>
  <dataValidations count="1">
    <dataValidation sqref="G2:G100" showDropDown="0" showInputMessage="0" showErrorMessage="0" allowBlank="1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0"/>
  <sheetViews>
    <sheetView topLeftCell="A153" workbookViewId="0">
      <selection activeCell="J55" sqref="J55:P55"/>
    </sheetView>
  </sheetViews>
  <sheetFormatPr baseColWidth="8" defaultRowHeight="15"/>
  <cols>
    <col width="11.7109375" bestFit="1" customWidth="1" style="35" min="1" max="1"/>
    <col width="8.85546875" bestFit="1" customWidth="1" style="35" min="2" max="2"/>
    <col width="18.42578125" bestFit="1" customWidth="1" style="35" min="3" max="3"/>
    <col width="6.5703125" bestFit="1" customWidth="1" style="35" min="4" max="4"/>
    <col width="8.7109375" bestFit="1" customWidth="1" style="35" min="5" max="5"/>
    <col width="11" bestFit="1" customWidth="1" style="35" min="6" max="6"/>
    <col width="9" bestFit="1" customWidth="1" style="35" min="7" max="7"/>
    <col width="10.42578125" bestFit="1" customWidth="1" style="35" min="10" max="10"/>
    <col width="8.85546875" bestFit="1" customWidth="1" style="35" min="11" max="11"/>
    <col width="18.42578125" bestFit="1" customWidth="1" style="35" min="12" max="12"/>
    <col width="4.28515625" bestFit="1" customWidth="1" style="35" min="13" max="13"/>
    <col width="8" bestFit="1" customWidth="1" style="35" min="14" max="14"/>
    <col width="9" bestFit="1" customWidth="1" style="35" min="15" max="15"/>
    <col width="11.42578125" bestFit="1" customWidth="1" style="35" min="16" max="16"/>
  </cols>
  <sheetData>
    <row r="1" ht="15.75" customHeight="1" s="35">
      <c r="A1" s="29" t="inlineStr">
        <is>
          <t>Tgl Ambil</t>
        </is>
      </c>
      <c r="B1" s="29" t="inlineStr">
        <is>
          <t>Nama</t>
        </is>
      </c>
      <c r="C1" s="29" t="inlineStr">
        <is>
          <t>SKU</t>
        </is>
      </c>
      <c r="D1" s="29" t="inlineStr">
        <is>
          <t>Qty</t>
        </is>
      </c>
      <c r="E1" s="29" t="inlineStr">
        <is>
          <t>Harga</t>
        </is>
      </c>
      <c r="F1" s="29" t="inlineStr">
        <is>
          <t>Formula</t>
        </is>
      </c>
      <c r="G1" s="29" t="inlineStr">
        <is>
          <t>Total</t>
        </is>
      </c>
      <c r="H1" s="29" t="n"/>
      <c r="I1" s="29" t="n"/>
      <c r="J1" s="29" t="inlineStr">
        <is>
          <t>Tgl Lunas</t>
        </is>
      </c>
      <c r="K1" s="29" t="inlineStr">
        <is>
          <t>Nama</t>
        </is>
      </c>
      <c r="L1" s="29" t="inlineStr">
        <is>
          <t>SKU</t>
        </is>
      </c>
      <c r="M1" s="29" t="inlineStr">
        <is>
          <t>Qty</t>
        </is>
      </c>
      <c r="N1" s="29" t="inlineStr">
        <is>
          <t>Harga</t>
        </is>
      </c>
      <c r="O1" s="29" t="inlineStr">
        <is>
          <t>Formula</t>
        </is>
      </c>
      <c r="P1" s="29" t="inlineStr">
        <is>
          <t>Total Lunas</t>
        </is>
      </c>
    </row>
    <row r="2">
      <c r="A2" t="inlineStr">
        <is>
          <t>2026-04-21</t>
        </is>
      </c>
      <c r="B2" t="inlineStr">
        <is>
          <t>Kak Yudi</t>
        </is>
      </c>
      <c r="C2" t="inlineStr">
        <is>
          <t>DG-Bata</t>
        </is>
      </c>
      <c r="D2" t="n">
        <v>4</v>
      </c>
      <c r="E2" t="n">
        <v>9000</v>
      </c>
      <c r="F2">
        <f>D2*E2</f>
        <v/>
      </c>
      <c r="G2" t="n">
        <v>36000</v>
      </c>
      <c r="J2" t="inlineStr">
        <is>
          <t>2026-04-23</t>
        </is>
      </c>
      <c r="K2" t="inlineStr">
        <is>
          <t>Kak Yudi</t>
        </is>
      </c>
      <c r="L2" t="inlineStr">
        <is>
          <t>DG-Bata</t>
        </is>
      </c>
      <c r="M2" t="n">
        <v>4</v>
      </c>
      <c r="N2" t="n">
        <v>9000</v>
      </c>
      <c r="O2" t="n">
        <v>36000</v>
      </c>
      <c r="P2" t="n">
        <v>36000</v>
      </c>
    </row>
    <row r="3">
      <c r="A3" t="inlineStr">
        <is>
          <t>2026-04-21</t>
        </is>
      </c>
      <c r="B3" t="inlineStr">
        <is>
          <t>Kak Yudi</t>
        </is>
      </c>
      <c r="C3" t="inlineStr">
        <is>
          <t>DG-Denim</t>
        </is>
      </c>
      <c r="D3" t="n">
        <v>2</v>
      </c>
      <c r="E3" t="n">
        <v>9000</v>
      </c>
      <c r="F3">
        <f>D3*E3</f>
        <v/>
      </c>
      <c r="G3" t="n">
        <v>18000</v>
      </c>
      <c r="J3" t="inlineStr">
        <is>
          <t>2026-04-23</t>
        </is>
      </c>
      <c r="K3" t="inlineStr">
        <is>
          <t>Kak Yudi</t>
        </is>
      </c>
      <c r="L3" t="inlineStr">
        <is>
          <t>DG-Denim</t>
        </is>
      </c>
      <c r="M3" t="n">
        <v>2</v>
      </c>
      <c r="N3" t="n">
        <v>9000</v>
      </c>
      <c r="O3" t="n">
        <v>18000</v>
      </c>
      <c r="P3" t="n">
        <v>18000</v>
      </c>
    </row>
    <row r="4">
      <c r="A4" t="inlineStr">
        <is>
          <t>2026-04-21</t>
        </is>
      </c>
      <c r="B4" t="inlineStr">
        <is>
          <t>Kak Yudi</t>
        </is>
      </c>
      <c r="C4" t="inlineStr">
        <is>
          <t>DG-Navy</t>
        </is>
      </c>
      <c r="D4" t="n">
        <v>4</v>
      </c>
      <c r="E4" t="n">
        <v>9000</v>
      </c>
      <c r="F4">
        <f>D4*E4</f>
        <v/>
      </c>
      <c r="G4" t="n">
        <v>36000</v>
      </c>
      <c r="J4" t="inlineStr">
        <is>
          <t>2026-04-23</t>
        </is>
      </c>
      <c r="K4" t="inlineStr">
        <is>
          <t>Kak Yudi</t>
        </is>
      </c>
      <c r="L4" t="inlineStr">
        <is>
          <t>DG-Navy</t>
        </is>
      </c>
      <c r="M4" t="n">
        <v>4</v>
      </c>
      <c r="N4" t="n">
        <v>9000</v>
      </c>
      <c r="O4" t="n">
        <v>36000</v>
      </c>
      <c r="P4" t="n">
        <v>36000</v>
      </c>
    </row>
    <row r="5">
      <c r="A5" t="inlineStr">
        <is>
          <t>2026-04-21</t>
        </is>
      </c>
      <c r="B5" t="inlineStr">
        <is>
          <t>Kak Yudi</t>
        </is>
      </c>
      <c r="C5" t="inlineStr">
        <is>
          <t>DG-Turkish-L</t>
        </is>
      </c>
      <c r="D5" t="n">
        <v>4</v>
      </c>
      <c r="E5" t="n">
        <v>10500</v>
      </c>
      <c r="F5">
        <f>D5*E5</f>
        <v/>
      </c>
      <c r="G5" t="n">
        <v>42000</v>
      </c>
      <c r="J5" t="inlineStr">
        <is>
          <t>2026-04-23</t>
        </is>
      </c>
      <c r="K5" t="inlineStr">
        <is>
          <t>Kak Yudi</t>
        </is>
      </c>
      <c r="L5" t="inlineStr">
        <is>
          <t>DG-Turkish-L</t>
        </is>
      </c>
      <c r="M5" t="n">
        <v>4</v>
      </c>
      <c r="N5" t="n">
        <v>10500</v>
      </c>
      <c r="O5" t="n">
        <v>42000</v>
      </c>
      <c r="P5" t="n">
        <v>42000</v>
      </c>
    </row>
    <row r="6">
      <c r="A6" t="inlineStr">
        <is>
          <t>2026-04-21</t>
        </is>
      </c>
      <c r="B6" t="inlineStr">
        <is>
          <t>Kak Yudi</t>
        </is>
      </c>
      <c r="C6" t="inlineStr">
        <is>
          <t>SA-Dark grey-L</t>
        </is>
      </c>
      <c r="D6" t="n">
        <v>1</v>
      </c>
      <c r="E6" t="n">
        <v>7500</v>
      </c>
      <c r="F6">
        <f>D6*E6</f>
        <v/>
      </c>
      <c r="G6" t="n">
        <v>7500</v>
      </c>
      <c r="J6" t="inlineStr">
        <is>
          <t>2026-04-23</t>
        </is>
      </c>
      <c r="K6" t="inlineStr">
        <is>
          <t>Kak Yudi</t>
        </is>
      </c>
      <c r="L6" t="inlineStr">
        <is>
          <t>SA-Dark grey-L</t>
        </is>
      </c>
      <c r="M6" t="n">
        <v>1</v>
      </c>
      <c r="N6" t="n">
        <v>7500</v>
      </c>
      <c r="O6" t="n">
        <v>7500</v>
      </c>
      <c r="P6" t="n">
        <v>7500</v>
      </c>
    </row>
    <row r="7">
      <c r="A7" t="inlineStr">
        <is>
          <t>2026-04-21</t>
        </is>
      </c>
      <c r="B7" t="inlineStr">
        <is>
          <t>Kak Yudi</t>
        </is>
      </c>
      <c r="C7" t="inlineStr">
        <is>
          <t>SA-Navy-L</t>
        </is>
      </c>
      <c r="D7" t="n">
        <v>1</v>
      </c>
      <c r="E7" t="n">
        <v>7500</v>
      </c>
      <c r="F7">
        <f>D7*E7</f>
        <v/>
      </c>
      <c r="G7" t="n">
        <v>7500</v>
      </c>
      <c r="J7" t="inlineStr">
        <is>
          <t>2026-04-23</t>
        </is>
      </c>
      <c r="K7" t="inlineStr">
        <is>
          <t>Kak Yudi</t>
        </is>
      </c>
      <c r="L7" t="inlineStr">
        <is>
          <t>SA-Navy-L</t>
        </is>
      </c>
      <c r="M7" t="n">
        <v>1</v>
      </c>
      <c r="N7" t="n">
        <v>7500</v>
      </c>
      <c r="O7" t="n">
        <v>7500</v>
      </c>
      <c r="P7" t="n">
        <v>7500</v>
      </c>
    </row>
    <row r="8">
      <c r="A8" t="inlineStr">
        <is>
          <t>2026-04-21</t>
        </is>
      </c>
      <c r="B8" t="inlineStr">
        <is>
          <t>Kak Yudi</t>
        </is>
      </c>
      <c r="C8" t="inlineStr">
        <is>
          <t>SA-Jotol-L</t>
        </is>
      </c>
      <c r="D8" t="n">
        <v>1</v>
      </c>
      <c r="E8" t="n">
        <v>7500</v>
      </c>
      <c r="F8">
        <f>D8*E8</f>
        <v/>
      </c>
      <c r="G8" t="n">
        <v>7500</v>
      </c>
      <c r="J8" t="inlineStr">
        <is>
          <t>2026-04-23</t>
        </is>
      </c>
      <c r="K8" t="inlineStr">
        <is>
          <t>Kak Yudi</t>
        </is>
      </c>
      <c r="L8" t="inlineStr">
        <is>
          <t>SA-Jotol-L</t>
        </is>
      </c>
      <c r="M8" t="n">
        <v>1</v>
      </c>
      <c r="N8" t="n">
        <v>7500</v>
      </c>
      <c r="O8" t="n">
        <v>7500</v>
      </c>
      <c r="P8" t="n">
        <v>7500</v>
      </c>
    </row>
    <row r="9">
      <c r="A9" t="inlineStr">
        <is>
          <t>2026-04-21</t>
        </is>
      </c>
      <c r="B9" t="inlineStr">
        <is>
          <t>Kak Yudi</t>
        </is>
      </c>
      <c r="C9" t="inlineStr">
        <is>
          <t>SPORT-Jotol-S</t>
        </is>
      </c>
      <c r="D9" t="n">
        <v>1</v>
      </c>
      <c r="E9" t="n">
        <v>5000</v>
      </c>
      <c r="F9">
        <f>D9*E9</f>
        <v/>
      </c>
      <c r="G9" t="n">
        <v>5000</v>
      </c>
      <c r="J9" t="inlineStr">
        <is>
          <t>2026-04-23</t>
        </is>
      </c>
      <c r="K9" t="inlineStr">
        <is>
          <t>Kak Yudi</t>
        </is>
      </c>
      <c r="L9" t="inlineStr">
        <is>
          <t>SPORT-Jotol-S</t>
        </is>
      </c>
      <c r="M9" t="n">
        <v>1</v>
      </c>
      <c r="N9" t="n">
        <v>5000</v>
      </c>
      <c r="O9" t="n">
        <v>5000</v>
      </c>
      <c r="P9" t="n">
        <v>5000</v>
      </c>
    </row>
    <row r="10">
      <c r="A10" t="inlineStr">
        <is>
          <t>2026-04-21</t>
        </is>
      </c>
      <c r="B10" t="inlineStr">
        <is>
          <t>Kak Yudi</t>
        </is>
      </c>
      <c r="C10" t="inlineStr">
        <is>
          <t>SPORT-Army-S</t>
        </is>
      </c>
      <c r="D10" t="n">
        <v>1</v>
      </c>
      <c r="E10" t="n">
        <v>5000</v>
      </c>
      <c r="F10">
        <f>D10*E10</f>
        <v/>
      </c>
      <c r="G10" t="n">
        <v>5000</v>
      </c>
      <c r="J10" t="inlineStr">
        <is>
          <t>2026-04-23</t>
        </is>
      </c>
      <c r="K10" t="inlineStr">
        <is>
          <t>Kak Yudi</t>
        </is>
      </c>
      <c r="L10" t="inlineStr">
        <is>
          <t>SPORT-Army-S</t>
        </is>
      </c>
      <c r="M10" t="n">
        <v>1</v>
      </c>
      <c r="N10" t="n">
        <v>5000</v>
      </c>
      <c r="O10" t="n">
        <v>5000</v>
      </c>
      <c r="P10" t="n">
        <v>5000</v>
      </c>
    </row>
    <row r="11">
      <c r="A11" t="inlineStr">
        <is>
          <t>2026-04-21</t>
        </is>
      </c>
      <c r="B11" t="inlineStr">
        <is>
          <t>Kak Yudi</t>
        </is>
      </c>
      <c r="C11" t="inlineStr">
        <is>
          <t>SPORT-Marun-S</t>
        </is>
      </c>
      <c r="D11" t="n">
        <v>1</v>
      </c>
      <c r="E11" t="n">
        <v>5000</v>
      </c>
      <c r="F11">
        <f>D11*E11</f>
        <v/>
      </c>
      <c r="G11" t="n">
        <v>5000</v>
      </c>
      <c r="J11" t="inlineStr">
        <is>
          <t>2026-04-23</t>
        </is>
      </c>
      <c r="K11" t="inlineStr">
        <is>
          <t>Kak Yudi</t>
        </is>
      </c>
      <c r="L11" t="inlineStr">
        <is>
          <t>SPORT-Marun-S</t>
        </is>
      </c>
      <c r="M11" t="n">
        <v>1</v>
      </c>
      <c r="N11" t="n">
        <v>5000</v>
      </c>
      <c r="O11" t="n">
        <v>5000</v>
      </c>
      <c r="P11" t="n">
        <v>5000</v>
      </c>
    </row>
    <row r="12">
      <c r="A12" t="inlineStr">
        <is>
          <t>2026-04-21</t>
        </is>
      </c>
      <c r="B12" t="inlineStr">
        <is>
          <t>Kak Yudi</t>
        </is>
      </c>
      <c r="C12" t="inlineStr">
        <is>
          <t>SPORT-Navy-S</t>
        </is>
      </c>
      <c r="D12" t="n">
        <v>1</v>
      </c>
      <c r="E12" t="n">
        <v>5000</v>
      </c>
      <c r="F12">
        <f>D12*E12</f>
        <v/>
      </c>
      <c r="G12" t="n">
        <v>5000</v>
      </c>
      <c r="J12" t="inlineStr">
        <is>
          <t>2026-04-23</t>
        </is>
      </c>
      <c r="K12" t="inlineStr">
        <is>
          <t>Kak Yudi</t>
        </is>
      </c>
      <c r="L12" t="inlineStr">
        <is>
          <t>SPORT-Navy-S</t>
        </is>
      </c>
      <c r="M12" t="n">
        <v>1</v>
      </c>
      <c r="N12" t="n">
        <v>5000</v>
      </c>
      <c r="O12" t="n">
        <v>5000</v>
      </c>
      <c r="P12" t="n">
        <v>5000</v>
      </c>
    </row>
    <row r="13">
      <c r="A13" t="inlineStr">
        <is>
          <t>2026-04-21</t>
        </is>
      </c>
      <c r="B13" t="inlineStr">
        <is>
          <t>Kak Yudi</t>
        </is>
      </c>
      <c r="C13" t="inlineStr">
        <is>
          <t>SPORT-Navy-L</t>
        </is>
      </c>
      <c r="D13" t="n">
        <v>1</v>
      </c>
      <c r="E13" t="n">
        <v>9500</v>
      </c>
      <c r="F13">
        <f>D13*E13</f>
        <v/>
      </c>
      <c r="G13" t="n">
        <v>9500</v>
      </c>
      <c r="J13" t="inlineStr">
        <is>
          <t>2026-04-23</t>
        </is>
      </c>
      <c r="K13" t="inlineStr">
        <is>
          <t>Kak Yudi</t>
        </is>
      </c>
      <c r="L13" t="inlineStr">
        <is>
          <t>SPORT-Navy-L</t>
        </is>
      </c>
      <c r="M13" t="n">
        <v>1</v>
      </c>
      <c r="N13" t="n">
        <v>9500</v>
      </c>
      <c r="O13" t="n">
        <v>9500</v>
      </c>
      <c r="P13" t="n">
        <v>9500</v>
      </c>
    </row>
    <row r="14">
      <c r="A14" t="inlineStr">
        <is>
          <t>2026-04-21</t>
        </is>
      </c>
      <c r="B14" t="inlineStr">
        <is>
          <t>Kak Yudi</t>
        </is>
      </c>
      <c r="C14" t="inlineStr">
        <is>
          <t>SPORT-Mustard-L</t>
        </is>
      </c>
      <c r="D14" t="n">
        <v>1</v>
      </c>
      <c r="E14" t="n">
        <v>9500</v>
      </c>
      <c r="F14">
        <f>D14*E14</f>
        <v/>
      </c>
      <c r="G14" t="n">
        <v>9500</v>
      </c>
      <c r="J14" t="inlineStr">
        <is>
          <t>2026-04-23</t>
        </is>
      </c>
      <c r="K14" t="inlineStr">
        <is>
          <t>Kak Yudi</t>
        </is>
      </c>
      <c r="L14" t="inlineStr">
        <is>
          <t>SPORT-Mustard-L</t>
        </is>
      </c>
      <c r="M14" t="n">
        <v>1</v>
      </c>
      <c r="N14" t="n">
        <v>9500</v>
      </c>
      <c r="O14" t="n">
        <v>9500</v>
      </c>
      <c r="P14" t="n">
        <v>9500</v>
      </c>
    </row>
    <row r="15">
      <c r="A15" t="inlineStr">
        <is>
          <t>2026-04-21</t>
        </is>
      </c>
      <c r="B15" t="inlineStr">
        <is>
          <t>Kak Yudi</t>
        </is>
      </c>
      <c r="C15" t="inlineStr">
        <is>
          <t>SPORT-Dark Grey-M</t>
        </is>
      </c>
      <c r="D15" t="n">
        <v>1</v>
      </c>
      <c r="E15" t="n">
        <v>7500</v>
      </c>
      <c r="F15">
        <f>D15*E15</f>
        <v/>
      </c>
      <c r="G15" t="n">
        <v>7500</v>
      </c>
      <c r="J15" t="inlineStr">
        <is>
          <t>2026-04-23</t>
        </is>
      </c>
      <c r="K15" t="inlineStr">
        <is>
          <t>Kak Yudi</t>
        </is>
      </c>
      <c r="L15" t="inlineStr">
        <is>
          <t>SPORT-Dark Grey-M</t>
        </is>
      </c>
      <c r="M15" t="n">
        <v>1</v>
      </c>
      <c r="N15" t="n">
        <v>7500</v>
      </c>
      <c r="O15" t="n">
        <v>7500</v>
      </c>
      <c r="P15" t="n">
        <v>7500</v>
      </c>
    </row>
    <row r="16">
      <c r="A16" t="inlineStr">
        <is>
          <t>2026-04-21</t>
        </is>
      </c>
      <c r="B16" t="inlineStr">
        <is>
          <t>Kak Yudi</t>
        </is>
      </c>
      <c r="C16" t="inlineStr">
        <is>
          <t>SPORT-Navy-M</t>
        </is>
      </c>
      <c r="D16" t="n">
        <v>1</v>
      </c>
      <c r="E16" t="n">
        <v>7500</v>
      </c>
      <c r="F16">
        <f>D16*E16</f>
        <v/>
      </c>
      <c r="G16" t="n">
        <v>7500</v>
      </c>
      <c r="J16" t="inlineStr">
        <is>
          <t>2026-04-23</t>
        </is>
      </c>
      <c r="K16" t="inlineStr">
        <is>
          <t>Kak Yudi</t>
        </is>
      </c>
      <c r="L16" t="inlineStr">
        <is>
          <t>SPORT-Navy-M</t>
        </is>
      </c>
      <c r="M16" t="n">
        <v>1</v>
      </c>
      <c r="N16" t="n">
        <v>7500</v>
      </c>
      <c r="O16" t="n">
        <v>7500</v>
      </c>
      <c r="P16" t="n">
        <v>7500</v>
      </c>
    </row>
    <row r="17">
      <c r="A17" t="inlineStr">
        <is>
          <t>2026-04-21</t>
        </is>
      </c>
      <c r="B17" t="inlineStr">
        <is>
          <t>Kak Yudi</t>
        </is>
      </c>
      <c r="C17" t="inlineStr">
        <is>
          <t>SPORT-Cream-M</t>
        </is>
      </c>
      <c r="D17" t="n">
        <v>1</v>
      </c>
      <c r="E17" t="n">
        <v>7500</v>
      </c>
      <c r="F17">
        <f>D17*E17</f>
        <v/>
      </c>
      <c r="G17" t="n">
        <v>7500</v>
      </c>
      <c r="J17" t="inlineStr">
        <is>
          <t>2026-04-23</t>
        </is>
      </c>
      <c r="K17" t="inlineStr">
        <is>
          <t>Kak Yudi</t>
        </is>
      </c>
      <c r="L17" t="inlineStr">
        <is>
          <t>SPORT-Cream-M</t>
        </is>
      </c>
      <c r="M17" t="n">
        <v>1</v>
      </c>
      <c r="N17" t="n">
        <v>7500</v>
      </c>
      <c r="O17" t="n">
        <v>7500</v>
      </c>
      <c r="P17" t="n">
        <v>7500</v>
      </c>
    </row>
    <row r="18">
      <c r="A18" t="inlineStr">
        <is>
          <t>2026-04-21</t>
        </is>
      </c>
      <c r="B18" t="inlineStr">
        <is>
          <t>Kak Yudi</t>
        </is>
      </c>
      <c r="C18" t="inlineStr">
        <is>
          <t>JSO-Hitam</t>
        </is>
      </c>
      <c r="D18" t="n">
        <v>456</v>
      </c>
      <c r="E18" t="n">
        <v>11500</v>
      </c>
      <c r="F18">
        <f>D18*E18</f>
        <v/>
      </c>
      <c r="G18" t="n">
        <v>5244000</v>
      </c>
      <c r="J18" t="inlineStr">
        <is>
          <t>2026-04-23</t>
        </is>
      </c>
      <c r="K18" t="inlineStr">
        <is>
          <t>Kak Yudi</t>
        </is>
      </c>
      <c r="L18" t="inlineStr">
        <is>
          <t>JSO-Hitam</t>
        </is>
      </c>
      <c r="M18" t="n">
        <v>456</v>
      </c>
      <c r="N18" t="n">
        <v>11500</v>
      </c>
      <c r="O18" t="n">
        <v>5244000</v>
      </c>
      <c r="P18" t="n">
        <v>5244000</v>
      </c>
    </row>
    <row r="19">
      <c r="A19" t="inlineStr">
        <is>
          <t>2026-04-19</t>
        </is>
      </c>
      <c r="B19" t="inlineStr">
        <is>
          <t>Kak Hari</t>
        </is>
      </c>
      <c r="C19" t="inlineStr">
        <is>
          <t>JSO-Maroon</t>
        </is>
      </c>
      <c r="D19" t="n">
        <v>155</v>
      </c>
      <c r="E19" t="n">
        <v>11500</v>
      </c>
      <c r="F19">
        <f>D19*E19</f>
        <v/>
      </c>
      <c r="G19" t="n">
        <v>1782500</v>
      </c>
      <c r="J19" s="30" t="n">
        <v>46135</v>
      </c>
      <c r="K19" t="inlineStr">
        <is>
          <t>Kak Hari</t>
        </is>
      </c>
      <c r="L19" t="inlineStr">
        <is>
          <t>JSO-Maroon</t>
        </is>
      </c>
      <c r="M19" t="n">
        <v>155</v>
      </c>
      <c r="N19" t="n">
        <v>11500</v>
      </c>
      <c r="O19">
        <f>M19*N19</f>
        <v/>
      </c>
      <c r="P19" t="n">
        <v>1782500</v>
      </c>
    </row>
    <row r="20">
      <c r="A20" t="inlineStr">
        <is>
          <t>2026-04-19</t>
        </is>
      </c>
      <c r="B20" t="inlineStr">
        <is>
          <t>Kak Hari</t>
        </is>
      </c>
      <c r="C20" t="inlineStr">
        <is>
          <t>JSO-Navy</t>
        </is>
      </c>
      <c r="D20" t="n">
        <v>176</v>
      </c>
      <c r="E20" t="n">
        <v>11500</v>
      </c>
      <c r="F20">
        <f>D20*E20</f>
        <v/>
      </c>
      <c r="G20" t="n">
        <v>2024000</v>
      </c>
      <c r="J20" s="30" t="n">
        <v>46135</v>
      </c>
      <c r="K20" t="inlineStr">
        <is>
          <t>Kak Hari</t>
        </is>
      </c>
      <c r="L20" t="inlineStr">
        <is>
          <t>JSO-Navy</t>
        </is>
      </c>
      <c r="M20" t="n">
        <v>176</v>
      </c>
      <c r="N20" t="n">
        <v>11500</v>
      </c>
      <c r="O20">
        <f>M20*N20</f>
        <v/>
      </c>
      <c r="P20" t="n">
        <v>2024000</v>
      </c>
    </row>
    <row r="21">
      <c r="A21" t="inlineStr">
        <is>
          <t>2026-04-19</t>
        </is>
      </c>
      <c r="B21" t="inlineStr">
        <is>
          <t>Kak Hari</t>
        </is>
      </c>
      <c r="C21" t="inlineStr">
        <is>
          <t>JSO-Maroon</t>
        </is>
      </c>
      <c r="D21" t="n">
        <v>181</v>
      </c>
      <c r="E21" t="n">
        <v>11500</v>
      </c>
      <c r="F21">
        <f>D21*E21</f>
        <v/>
      </c>
      <c r="G21" t="n">
        <v>2081500</v>
      </c>
      <c r="J21" s="30" t="n">
        <v>46135</v>
      </c>
      <c r="K21" t="inlineStr">
        <is>
          <t>Kak Hari</t>
        </is>
      </c>
      <c r="L21" t="inlineStr">
        <is>
          <t>JSO-Maroon</t>
        </is>
      </c>
      <c r="M21" t="n">
        <v>181</v>
      </c>
      <c r="N21" t="n">
        <v>11500</v>
      </c>
      <c r="O21">
        <f>M21*N21</f>
        <v/>
      </c>
      <c r="P21" t="n">
        <v>2081500</v>
      </c>
    </row>
    <row r="22">
      <c r="A22" t="inlineStr">
        <is>
          <t>2026-04-19</t>
        </is>
      </c>
      <c r="B22" t="inlineStr">
        <is>
          <t>Kak Hari</t>
        </is>
      </c>
      <c r="C22" t="inlineStr">
        <is>
          <t>JSO-Navy</t>
        </is>
      </c>
      <c r="D22" t="n">
        <v>174</v>
      </c>
      <c r="E22" t="n">
        <v>11500</v>
      </c>
      <c r="F22">
        <f>D22*E22</f>
        <v/>
      </c>
      <c r="G22" t="n">
        <v>2001000</v>
      </c>
      <c r="J22" s="30" t="n">
        <v>46135</v>
      </c>
      <c r="K22" t="inlineStr">
        <is>
          <t>Kak Hari</t>
        </is>
      </c>
      <c r="L22" t="inlineStr">
        <is>
          <t>JSO-Navy</t>
        </is>
      </c>
      <c r="M22" t="n">
        <v>174</v>
      </c>
      <c r="N22" t="n">
        <v>11500</v>
      </c>
      <c r="O22">
        <f>M22*N22</f>
        <v/>
      </c>
      <c r="P22" t="n">
        <v>2001000</v>
      </c>
    </row>
    <row r="23">
      <c r="A23" t="inlineStr">
        <is>
          <t>2026-04-19</t>
        </is>
      </c>
      <c r="B23" t="inlineStr">
        <is>
          <t>Kak Hari</t>
        </is>
      </c>
      <c r="C23" t="inlineStr">
        <is>
          <t>JSO-Burgundy</t>
        </is>
      </c>
      <c r="D23" t="n">
        <v>168</v>
      </c>
      <c r="E23" t="n">
        <v>11500</v>
      </c>
      <c r="F23">
        <f>D23*E23</f>
        <v/>
      </c>
      <c r="G23" t="n">
        <v>1932000</v>
      </c>
      <c r="J23" s="30" t="n">
        <v>46135</v>
      </c>
      <c r="K23" t="inlineStr">
        <is>
          <t>Kak Hari</t>
        </is>
      </c>
      <c r="L23" t="inlineStr">
        <is>
          <t>JSO-Burgundy</t>
        </is>
      </c>
      <c r="M23" t="n">
        <v>168</v>
      </c>
      <c r="N23" t="n">
        <v>11500</v>
      </c>
      <c r="O23">
        <f>M23*N23</f>
        <v/>
      </c>
      <c r="P23" t="n">
        <v>1932000</v>
      </c>
    </row>
    <row r="24">
      <c r="A24" t="inlineStr">
        <is>
          <t>2026-04-19</t>
        </is>
      </c>
      <c r="B24" t="inlineStr">
        <is>
          <t>Kak Hari</t>
        </is>
      </c>
      <c r="C24" t="inlineStr">
        <is>
          <t>JSO-Cream</t>
        </is>
      </c>
      <c r="D24" t="n">
        <v>341</v>
      </c>
      <c r="E24" t="n">
        <v>11500</v>
      </c>
      <c r="F24">
        <f>D24*E24</f>
        <v/>
      </c>
      <c r="G24" t="n">
        <v>3921500</v>
      </c>
      <c r="J24" s="30" t="inlineStr">
        <is>
          <t>2026-04-23</t>
        </is>
      </c>
      <c r="K24" t="inlineStr">
        <is>
          <t>Kak Hari</t>
        </is>
      </c>
      <c r="L24" t="inlineStr">
        <is>
          <t>JSO-Cream</t>
        </is>
      </c>
      <c r="M24" t="n">
        <v>341</v>
      </c>
      <c r="N24" t="n">
        <v>11500</v>
      </c>
      <c r="O24">
        <f>M24*N24</f>
        <v/>
      </c>
      <c r="P24" t="n">
        <v>3921500</v>
      </c>
    </row>
    <row r="25">
      <c r="A25" t="inlineStr">
        <is>
          <t>2026-04-19</t>
        </is>
      </c>
      <c r="B25" t="inlineStr">
        <is>
          <t>Kak Hari</t>
        </is>
      </c>
      <c r="C25" t="inlineStr">
        <is>
          <t>DG-Hitam</t>
        </is>
      </c>
      <c r="D25" t="n">
        <v>218</v>
      </c>
      <c r="E25" t="n">
        <v>9000</v>
      </c>
      <c r="F25">
        <f>D25*E25</f>
        <v/>
      </c>
      <c r="G25" t="n">
        <v>1962000</v>
      </c>
      <c r="J25" s="30" t="n">
        <v>46135</v>
      </c>
      <c r="K25" t="inlineStr">
        <is>
          <t>Kak Hari</t>
        </is>
      </c>
      <c r="L25" t="inlineStr">
        <is>
          <t>DG-Hitam</t>
        </is>
      </c>
      <c r="M25" t="n">
        <v>218</v>
      </c>
      <c r="N25" t="n">
        <v>9000</v>
      </c>
      <c r="O25">
        <f>M25*N25</f>
        <v/>
      </c>
      <c r="P25" t="n">
        <v>1962000</v>
      </c>
    </row>
    <row r="26">
      <c r="A26" t="inlineStr">
        <is>
          <t>2026-04-19</t>
        </is>
      </c>
      <c r="B26" t="inlineStr">
        <is>
          <t>Kak Hari</t>
        </is>
      </c>
      <c r="C26" t="inlineStr">
        <is>
          <t>DG-Hitam</t>
        </is>
      </c>
      <c r="D26" t="n">
        <v>432</v>
      </c>
      <c r="E26" t="n">
        <v>9000</v>
      </c>
      <c r="F26">
        <f>D26*E26</f>
        <v/>
      </c>
      <c r="G26" t="n">
        <v>3888000</v>
      </c>
      <c r="J26" s="30" t="n">
        <v>46135</v>
      </c>
      <c r="K26" t="inlineStr">
        <is>
          <t>Kak Hari</t>
        </is>
      </c>
      <c r="L26" t="inlineStr">
        <is>
          <t>DG-Hitam</t>
        </is>
      </c>
      <c r="M26" t="n">
        <v>432</v>
      </c>
      <c r="N26" t="n">
        <v>9000</v>
      </c>
      <c r="O26">
        <f>M26*N26</f>
        <v/>
      </c>
      <c r="P26" t="n">
        <v>3888000</v>
      </c>
    </row>
    <row r="27">
      <c r="A27" t="inlineStr">
        <is>
          <t>2026-04-22</t>
        </is>
      </c>
      <c r="B27" t="inlineStr">
        <is>
          <t>Kak Yudi</t>
        </is>
      </c>
      <c r="C27" t="inlineStr">
        <is>
          <t>SPORT-Hazelnut-L</t>
        </is>
      </c>
      <c r="D27" t="n">
        <v>2</v>
      </c>
      <c r="E27" t="n">
        <v>9500</v>
      </c>
      <c r="F27">
        <f>D27*E27</f>
        <v/>
      </c>
      <c r="G27" t="n">
        <v>19000</v>
      </c>
      <c r="J27" t="inlineStr">
        <is>
          <t>2026-04-23</t>
        </is>
      </c>
      <c r="K27" t="inlineStr">
        <is>
          <t>Kak Yudi</t>
        </is>
      </c>
      <c r="L27" t="inlineStr">
        <is>
          <t>SPORT-Hazelnut-L</t>
        </is>
      </c>
      <c r="M27" t="n">
        <v>2</v>
      </c>
      <c r="N27" t="n">
        <v>9500</v>
      </c>
      <c r="O27">
        <f>M27*N27</f>
        <v/>
      </c>
      <c r="P27" t="n">
        <v>19000</v>
      </c>
    </row>
    <row r="28">
      <c r="A28" t="inlineStr">
        <is>
          <t>2026-04-22</t>
        </is>
      </c>
      <c r="B28" t="inlineStr">
        <is>
          <t>Kak Yudi</t>
        </is>
      </c>
      <c r="C28" t="inlineStr">
        <is>
          <t>SPORT-Navy-L</t>
        </is>
      </c>
      <c r="D28" t="n">
        <v>1</v>
      </c>
      <c r="E28" t="n">
        <v>9500</v>
      </c>
      <c r="F28">
        <f>D28*E28</f>
        <v/>
      </c>
      <c r="G28" t="n">
        <v>9500</v>
      </c>
      <c r="J28" t="inlineStr">
        <is>
          <t>2026-04-23</t>
        </is>
      </c>
      <c r="K28" t="inlineStr">
        <is>
          <t>Kak Yudi</t>
        </is>
      </c>
      <c r="L28" t="inlineStr">
        <is>
          <t>SPORT-Navy-L</t>
        </is>
      </c>
      <c r="M28" t="n">
        <v>1</v>
      </c>
      <c r="N28" t="n">
        <v>9500</v>
      </c>
      <c r="O28">
        <f>M28*N28</f>
        <v/>
      </c>
      <c r="P28" t="n">
        <v>9500</v>
      </c>
    </row>
    <row r="29">
      <c r="A29" t="inlineStr">
        <is>
          <t>2026-04-22</t>
        </is>
      </c>
      <c r="B29" t="inlineStr">
        <is>
          <t>Kak Yudi</t>
        </is>
      </c>
      <c r="C29" t="inlineStr">
        <is>
          <t>SPORT-Mustard-M</t>
        </is>
      </c>
      <c r="D29" t="n">
        <v>1</v>
      </c>
      <c r="E29" t="n">
        <v>7500</v>
      </c>
      <c r="F29">
        <f>D29*E29</f>
        <v/>
      </c>
      <c r="G29" t="n">
        <v>7500</v>
      </c>
      <c r="J29" t="inlineStr">
        <is>
          <t>2026-04-23</t>
        </is>
      </c>
      <c r="K29" t="inlineStr">
        <is>
          <t>Kak Yudi</t>
        </is>
      </c>
      <c r="L29" t="inlineStr">
        <is>
          <t>SPORT-Mustard-M</t>
        </is>
      </c>
      <c r="M29" t="n">
        <v>1</v>
      </c>
      <c r="N29" t="n">
        <v>7500</v>
      </c>
      <c r="O29">
        <f>M29*N29</f>
        <v/>
      </c>
      <c r="P29" t="n">
        <v>7500</v>
      </c>
    </row>
    <row r="30">
      <c r="A30" t="inlineStr">
        <is>
          <t>2026-04-22</t>
        </is>
      </c>
      <c r="B30" t="inlineStr">
        <is>
          <t>Kak Yudi</t>
        </is>
      </c>
      <c r="C30" t="inlineStr">
        <is>
          <t>SPORT-Smoke-S</t>
        </is>
      </c>
      <c r="D30" t="n">
        <v>1</v>
      </c>
      <c r="E30" t="n">
        <v>5000</v>
      </c>
      <c r="F30">
        <f>D30*E30</f>
        <v/>
      </c>
      <c r="G30" t="n">
        <v>5000</v>
      </c>
      <c r="J30" t="inlineStr">
        <is>
          <t>2026-04-23</t>
        </is>
      </c>
      <c r="K30" t="inlineStr">
        <is>
          <t>Kak Yudi</t>
        </is>
      </c>
      <c r="L30" t="inlineStr">
        <is>
          <t>SPORT-Smoke-S</t>
        </is>
      </c>
      <c r="M30" t="n">
        <v>1</v>
      </c>
      <c r="N30" t="n">
        <v>5000</v>
      </c>
      <c r="O30">
        <f>M30*N30</f>
        <v/>
      </c>
      <c r="P30" t="n">
        <v>5000</v>
      </c>
    </row>
    <row r="31">
      <c r="A31" t="inlineStr">
        <is>
          <t>2026-04-22</t>
        </is>
      </c>
      <c r="B31" t="inlineStr">
        <is>
          <t>Kak Yudi</t>
        </is>
      </c>
      <c r="C31" t="inlineStr">
        <is>
          <t>SPORT-Jotol-S</t>
        </is>
      </c>
      <c r="D31" t="n">
        <v>1</v>
      </c>
      <c r="E31" t="n">
        <v>5000</v>
      </c>
      <c r="F31">
        <f>D31*E31</f>
        <v/>
      </c>
      <c r="G31" t="n">
        <v>5000</v>
      </c>
      <c r="J31" t="inlineStr">
        <is>
          <t>2026-04-23</t>
        </is>
      </c>
      <c r="K31" t="inlineStr">
        <is>
          <t>Kak Yudi</t>
        </is>
      </c>
      <c r="L31" t="inlineStr">
        <is>
          <t>SPORT-Jotol-S</t>
        </is>
      </c>
      <c r="M31" t="n">
        <v>1</v>
      </c>
      <c r="N31" t="n">
        <v>5000</v>
      </c>
      <c r="O31">
        <f>M31*N31</f>
        <v/>
      </c>
      <c r="P31" t="n">
        <v>5000</v>
      </c>
    </row>
    <row r="32">
      <c r="A32" t="inlineStr">
        <is>
          <t>2026-04-22</t>
        </is>
      </c>
      <c r="B32" t="inlineStr">
        <is>
          <t>Kak Yudi</t>
        </is>
      </c>
      <c r="C32" t="inlineStr">
        <is>
          <t>P-Polos-Maroon</t>
        </is>
      </c>
      <c r="D32" t="n">
        <v>1</v>
      </c>
      <c r="E32" t="n">
        <v>11500</v>
      </c>
      <c r="F32">
        <f>D32*E32</f>
        <v/>
      </c>
      <c r="G32" t="n">
        <v>11500</v>
      </c>
      <c r="J32" t="inlineStr">
        <is>
          <t>2026-04-23</t>
        </is>
      </c>
      <c r="K32" t="inlineStr">
        <is>
          <t>Kak Yudi</t>
        </is>
      </c>
      <c r="L32" t="inlineStr">
        <is>
          <t>P-Polos-Maroon</t>
        </is>
      </c>
      <c r="M32" t="n">
        <v>1</v>
      </c>
      <c r="N32" t="n">
        <v>11500</v>
      </c>
      <c r="O32">
        <f>M32*N32</f>
        <v/>
      </c>
      <c r="P32" t="n">
        <v>11500</v>
      </c>
    </row>
    <row r="33">
      <c r="A33" t="inlineStr">
        <is>
          <t>2026-04-22</t>
        </is>
      </c>
      <c r="B33" t="inlineStr">
        <is>
          <t>Kak Yudi</t>
        </is>
      </c>
      <c r="C33" t="inlineStr">
        <is>
          <t>DG-Maroon</t>
        </is>
      </c>
      <c r="D33" t="n">
        <v>2</v>
      </c>
      <c r="E33" t="n">
        <v>9000</v>
      </c>
      <c r="F33">
        <f>D33*E33</f>
        <v/>
      </c>
      <c r="G33" t="n">
        <v>18000</v>
      </c>
      <c r="J33" t="inlineStr">
        <is>
          <t>2026-04-23</t>
        </is>
      </c>
      <c r="K33" t="inlineStr">
        <is>
          <t>Kak Yudi</t>
        </is>
      </c>
      <c r="L33" t="inlineStr">
        <is>
          <t>DG-Maroon</t>
        </is>
      </c>
      <c r="M33" t="n">
        <v>2</v>
      </c>
      <c r="N33" t="n">
        <v>9000</v>
      </c>
      <c r="O33">
        <f>M33*N33</f>
        <v/>
      </c>
      <c r="P33" t="n">
        <v>18000</v>
      </c>
    </row>
    <row r="34">
      <c r="A34" t="inlineStr">
        <is>
          <t>2026-04-22</t>
        </is>
      </c>
      <c r="B34" t="inlineStr">
        <is>
          <t>Kak Yudi</t>
        </is>
      </c>
      <c r="C34" t="inlineStr">
        <is>
          <t>DG-Denim</t>
        </is>
      </c>
      <c r="D34" t="n">
        <v>4</v>
      </c>
      <c r="E34" t="n">
        <v>9000</v>
      </c>
      <c r="F34">
        <f>D34*E34</f>
        <v/>
      </c>
      <c r="G34" t="n">
        <v>36000</v>
      </c>
      <c r="J34" t="inlineStr">
        <is>
          <t>2026-04-23</t>
        </is>
      </c>
      <c r="K34" t="inlineStr">
        <is>
          <t>Kak Yudi</t>
        </is>
      </c>
      <c r="L34" t="inlineStr">
        <is>
          <t>DG-Denim</t>
        </is>
      </c>
      <c r="M34" t="n">
        <v>4</v>
      </c>
      <c r="N34" t="n">
        <v>9000</v>
      </c>
      <c r="O34">
        <f>M34*N34</f>
        <v/>
      </c>
      <c r="P34" t="n">
        <v>36000</v>
      </c>
    </row>
    <row r="35">
      <c r="A35" t="inlineStr">
        <is>
          <t>2026-04-23</t>
        </is>
      </c>
      <c r="B35" t="inlineStr">
        <is>
          <t>Kaji Yudi</t>
        </is>
      </c>
      <c r="C35" t="inlineStr">
        <is>
          <t>JSO-Hitam</t>
        </is>
      </c>
      <c r="D35" t="n">
        <v>903</v>
      </c>
      <c r="E35" t="n">
        <v>11500</v>
      </c>
      <c r="F35">
        <f>D35*E35</f>
        <v/>
      </c>
      <c r="G35" t="n">
        <v>10384500</v>
      </c>
      <c r="J35" t="inlineStr">
        <is>
          <t>2026-04-23</t>
        </is>
      </c>
      <c r="K35" t="inlineStr">
        <is>
          <t>Kaji Yudi</t>
        </is>
      </c>
      <c r="L35" t="inlineStr">
        <is>
          <t>JSO-Hitam</t>
        </is>
      </c>
      <c r="M35" t="n">
        <v>903</v>
      </c>
      <c r="N35" t="n">
        <v>11500</v>
      </c>
      <c r="O35">
        <f>M35*N35</f>
        <v/>
      </c>
      <c r="P35" t="n">
        <v>10384500</v>
      </c>
    </row>
    <row r="36">
      <c r="A36" t="inlineStr">
        <is>
          <t>2026-04-23</t>
        </is>
      </c>
      <c r="B36" t="inlineStr">
        <is>
          <t>Kaji Yudi</t>
        </is>
      </c>
      <c r="C36" t="inlineStr">
        <is>
          <t>JSO-Choco</t>
        </is>
      </c>
      <c r="D36" t="n">
        <v>80</v>
      </c>
      <c r="E36" t="n">
        <v>11500</v>
      </c>
      <c r="F36">
        <f>D36*E36</f>
        <v/>
      </c>
      <c r="G36" t="n">
        <v>920000</v>
      </c>
      <c r="J36" t="inlineStr">
        <is>
          <t>2026-04-23</t>
        </is>
      </c>
      <c r="K36" t="inlineStr">
        <is>
          <t>Kaji Yudi</t>
        </is>
      </c>
      <c r="L36" t="inlineStr">
        <is>
          <t>JSO-Choco</t>
        </is>
      </c>
      <c r="M36" t="n">
        <v>80</v>
      </c>
      <c r="N36" t="n">
        <v>11500</v>
      </c>
      <c r="O36">
        <f>M36*N36</f>
        <v/>
      </c>
      <c r="P36" t="n">
        <v>920000</v>
      </c>
    </row>
    <row r="37">
      <c r="A37" t="inlineStr">
        <is>
          <t>2026-04-23</t>
        </is>
      </c>
      <c r="B37" t="inlineStr">
        <is>
          <t>Kaji Yudi</t>
        </is>
      </c>
      <c r="C37" t="inlineStr">
        <is>
          <t>JSO-Fossil</t>
        </is>
      </c>
      <c r="D37" t="n">
        <v>150</v>
      </c>
      <c r="E37" t="n">
        <v>11500</v>
      </c>
      <c r="F37">
        <f>D37*E37</f>
        <v/>
      </c>
      <c r="G37" t="n">
        <v>1725000</v>
      </c>
      <c r="J37" t="inlineStr">
        <is>
          <t>2026-04-23</t>
        </is>
      </c>
      <c r="K37" t="inlineStr">
        <is>
          <t>Kaji Yudi</t>
        </is>
      </c>
      <c r="L37" t="inlineStr">
        <is>
          <t>JSO-Fossil</t>
        </is>
      </c>
      <c r="M37" t="n">
        <v>150</v>
      </c>
      <c r="N37" t="n">
        <v>11500</v>
      </c>
      <c r="O37">
        <f>M37*N37</f>
        <v/>
      </c>
      <c r="P37" t="n">
        <v>1725000</v>
      </c>
    </row>
    <row r="38">
      <c r="A38" t="inlineStr">
        <is>
          <t>2026-04-23</t>
        </is>
      </c>
      <c r="B38" t="inlineStr">
        <is>
          <t>Kaji Yudi</t>
        </is>
      </c>
      <c r="C38" t="inlineStr">
        <is>
          <t>JSO-Coksu</t>
        </is>
      </c>
      <c r="D38" t="n">
        <v>160</v>
      </c>
      <c r="E38" t="n">
        <v>11500</v>
      </c>
      <c r="F38">
        <f>D38*E38</f>
        <v/>
      </c>
      <c r="G38" t="n">
        <v>1840000</v>
      </c>
      <c r="J38" t="inlineStr">
        <is>
          <t>2026-04-23</t>
        </is>
      </c>
      <c r="K38" t="inlineStr">
        <is>
          <t>Kaji Yudi</t>
        </is>
      </c>
      <c r="L38" t="inlineStr">
        <is>
          <t>JSO-Coksu</t>
        </is>
      </c>
      <c r="M38" t="n">
        <v>160</v>
      </c>
      <c r="N38" t="n">
        <v>11500</v>
      </c>
      <c r="O38">
        <f>M38*N38</f>
        <v/>
      </c>
      <c r="P38" t="n">
        <v>1840000</v>
      </c>
    </row>
    <row r="39">
      <c r="A39" t="inlineStr">
        <is>
          <t>2026-04-23</t>
        </is>
      </c>
      <c r="B39" t="inlineStr">
        <is>
          <t>Kaji Yudi</t>
        </is>
      </c>
      <c r="C39" t="inlineStr">
        <is>
          <t>JSO-Coksu</t>
        </is>
      </c>
      <c r="D39" t="n">
        <v>150</v>
      </c>
      <c r="E39" t="n">
        <v>12000</v>
      </c>
      <c r="F39">
        <f>D39*E39</f>
        <v/>
      </c>
      <c r="G39" t="n">
        <v>1800000</v>
      </c>
      <c r="J39" t="inlineStr">
        <is>
          <t>2026-04-23</t>
        </is>
      </c>
      <c r="K39" t="inlineStr">
        <is>
          <t>Kaji Yudi</t>
        </is>
      </c>
      <c r="L39" t="inlineStr">
        <is>
          <t>JSO-Coksu</t>
        </is>
      </c>
      <c r="M39" t="n">
        <v>150</v>
      </c>
      <c r="N39" t="n">
        <v>12000</v>
      </c>
      <c r="O39">
        <f>M39*N39</f>
        <v/>
      </c>
      <c r="P39" t="n">
        <v>1800000</v>
      </c>
    </row>
    <row r="40">
      <c r="A40" t="inlineStr">
        <is>
          <t>2026-04-23</t>
        </is>
      </c>
      <c r="B40" t="inlineStr">
        <is>
          <t>Kaji Yudi</t>
        </is>
      </c>
      <c r="C40" t="inlineStr">
        <is>
          <t>JSO-Hitam</t>
        </is>
      </c>
      <c r="D40" t="n">
        <v>330</v>
      </c>
      <c r="E40" t="n">
        <v>12000</v>
      </c>
      <c r="F40">
        <f>D40*E40</f>
        <v/>
      </c>
      <c r="G40" t="n">
        <v>3960000</v>
      </c>
      <c r="J40" t="inlineStr">
        <is>
          <t>2026-04-23</t>
        </is>
      </c>
      <c r="K40" t="inlineStr">
        <is>
          <t>Kaji Yudi</t>
        </is>
      </c>
      <c r="L40" t="inlineStr">
        <is>
          <t>JSO-Hitam</t>
        </is>
      </c>
      <c r="M40" t="n">
        <v>330</v>
      </c>
      <c r="N40" t="n">
        <v>12000</v>
      </c>
      <c r="O40">
        <f>M40*N40</f>
        <v/>
      </c>
      <c r="P40" t="n">
        <v>3960000</v>
      </c>
    </row>
    <row r="41">
      <c r="A41" t="inlineStr">
        <is>
          <t>2026-04-23</t>
        </is>
      </c>
      <c r="B41" t="inlineStr">
        <is>
          <t>Kaji Yudi</t>
        </is>
      </c>
      <c r="C41" t="inlineStr">
        <is>
          <t>DG-M</t>
        </is>
      </c>
      <c r="D41" t="n">
        <v>3</v>
      </c>
      <c r="E41" t="n">
        <v>9000</v>
      </c>
      <c r="F41">
        <f>D41*E41</f>
        <v/>
      </c>
      <c r="G41" t="n">
        <v>27000</v>
      </c>
      <c r="J41" t="inlineStr">
        <is>
          <t>2026-04-23</t>
        </is>
      </c>
      <c r="K41" t="inlineStr">
        <is>
          <t>Kaji Yudi</t>
        </is>
      </c>
      <c r="L41" t="inlineStr">
        <is>
          <t>DG-M</t>
        </is>
      </c>
      <c r="M41" t="n">
        <v>3</v>
      </c>
      <c r="N41" t="n">
        <v>9000</v>
      </c>
      <c r="O41">
        <f>M41*N41</f>
        <v/>
      </c>
      <c r="P41" t="n">
        <v>27000</v>
      </c>
    </row>
    <row r="42">
      <c r="A42" t="inlineStr">
        <is>
          <t>2026-04-23</t>
        </is>
      </c>
      <c r="B42" t="inlineStr">
        <is>
          <t>Kaji Yudi</t>
        </is>
      </c>
      <c r="C42" t="inlineStr">
        <is>
          <t>SPORT-L</t>
        </is>
      </c>
      <c r="D42" t="n">
        <v>3</v>
      </c>
      <c r="E42" t="n">
        <v>9800</v>
      </c>
      <c r="F42">
        <f>D42*E42</f>
        <v/>
      </c>
      <c r="G42" t="n">
        <v>29400</v>
      </c>
      <c r="J42" t="inlineStr">
        <is>
          <t>2026-04-23</t>
        </is>
      </c>
      <c r="K42" t="inlineStr">
        <is>
          <t>Kaji Yudi</t>
        </is>
      </c>
      <c r="L42" t="inlineStr">
        <is>
          <t>SPORT-L</t>
        </is>
      </c>
      <c r="M42" t="n">
        <v>3</v>
      </c>
      <c r="N42" t="n">
        <v>9800</v>
      </c>
      <c r="O42">
        <f>M42*N42</f>
        <v/>
      </c>
      <c r="P42" t="n">
        <v>29400</v>
      </c>
    </row>
    <row r="43">
      <c r="A43" t="inlineStr">
        <is>
          <t>2026-04-23</t>
        </is>
      </c>
      <c r="B43" t="inlineStr">
        <is>
          <t>Kaji Yudi</t>
        </is>
      </c>
      <c r="C43" t="inlineStr">
        <is>
          <t>SPORT-S</t>
        </is>
      </c>
      <c r="D43" t="n">
        <v>1</v>
      </c>
      <c r="E43" t="n">
        <v>5500</v>
      </c>
      <c r="F43">
        <f>D43*E43</f>
        <v/>
      </c>
      <c r="G43" t="n">
        <v>5500</v>
      </c>
      <c r="J43" t="inlineStr">
        <is>
          <t>2026-04-23</t>
        </is>
      </c>
      <c r="K43" t="inlineStr">
        <is>
          <t>Kaji Yudi</t>
        </is>
      </c>
      <c r="L43" t="inlineStr">
        <is>
          <t>SPORT-S</t>
        </is>
      </c>
      <c r="M43" t="n">
        <v>1</v>
      </c>
      <c r="N43" t="n">
        <v>5500</v>
      </c>
      <c r="O43">
        <f>M43*N43</f>
        <v/>
      </c>
      <c r="P43" t="n">
        <v>5500</v>
      </c>
    </row>
    <row r="44">
      <c r="A44" t="inlineStr">
        <is>
          <t>2026-04-23</t>
        </is>
      </c>
      <c r="B44" t="inlineStr">
        <is>
          <t>Kaji Yudi</t>
        </is>
      </c>
      <c r="C44" t="inlineStr">
        <is>
          <t>JSO</t>
        </is>
      </c>
      <c r="D44" t="n">
        <v>17</v>
      </c>
      <c r="E44" t="n">
        <v>12000</v>
      </c>
      <c r="F44">
        <f>D44*E44</f>
        <v/>
      </c>
      <c r="G44" t="n">
        <v>204000</v>
      </c>
      <c r="J44" t="inlineStr">
        <is>
          <t>2026-04-23</t>
        </is>
      </c>
      <c r="K44" t="inlineStr">
        <is>
          <t>Kaji Yudi</t>
        </is>
      </c>
      <c r="L44" t="inlineStr">
        <is>
          <t>JSO</t>
        </is>
      </c>
      <c r="M44" t="n">
        <v>17</v>
      </c>
      <c r="N44" t="n">
        <v>12000</v>
      </c>
      <c r="O44">
        <f>M44*N44</f>
        <v/>
      </c>
      <c r="P44" t="n">
        <v>204000</v>
      </c>
    </row>
    <row r="45">
      <c r="A45" t="inlineStr">
        <is>
          <t>2026-04-23</t>
        </is>
      </c>
      <c r="B45" t="inlineStr">
        <is>
          <t>Kaji Yudi</t>
        </is>
      </c>
      <c r="C45" t="inlineStr">
        <is>
          <t>SPORT-M</t>
        </is>
      </c>
      <c r="D45" t="n">
        <v>4</v>
      </c>
      <c r="E45" t="n">
        <v>7500</v>
      </c>
      <c r="F45">
        <f>D45*E45</f>
        <v/>
      </c>
      <c r="G45" t="n">
        <v>30000</v>
      </c>
      <c r="J45" t="inlineStr">
        <is>
          <t>2026-04-23</t>
        </is>
      </c>
      <c r="K45" t="inlineStr">
        <is>
          <t>Kaji Yudi</t>
        </is>
      </c>
      <c r="L45" t="inlineStr">
        <is>
          <t>SPORT-M</t>
        </is>
      </c>
      <c r="M45" t="n">
        <v>4</v>
      </c>
      <c r="N45" t="n">
        <v>7500</v>
      </c>
      <c r="O45">
        <f>M45*N45</f>
        <v/>
      </c>
      <c r="P45" t="n">
        <v>30000</v>
      </c>
    </row>
    <row r="46">
      <c r="A46" t="inlineStr">
        <is>
          <t>2026-04-23</t>
        </is>
      </c>
      <c r="B46" t="inlineStr">
        <is>
          <t>Kaji Yudi</t>
        </is>
      </c>
      <c r="C46" t="inlineStr">
        <is>
          <t>Nyileh</t>
        </is>
      </c>
      <c r="D46" t="n">
        <v>1</v>
      </c>
      <c r="E46" t="n">
        <v>6500000</v>
      </c>
      <c r="F46">
        <f>D46*E46</f>
        <v/>
      </c>
      <c r="G46" t="n">
        <v>6500000</v>
      </c>
      <c r="J46" t="inlineStr">
        <is>
          <t>2026-04-23</t>
        </is>
      </c>
      <c r="K46" t="inlineStr">
        <is>
          <t>Kaji Yudi</t>
        </is>
      </c>
      <c r="L46" t="inlineStr">
        <is>
          <t>Nyileh</t>
        </is>
      </c>
      <c r="M46" t="n">
        <v>1</v>
      </c>
      <c r="N46" t="n">
        <v>6500000</v>
      </c>
      <c r="O46">
        <f>M46*N46</f>
        <v/>
      </c>
      <c r="P46" t="n">
        <v>6500000</v>
      </c>
    </row>
    <row r="47">
      <c r="A47" t="inlineStr">
        <is>
          <t>2026-04-17</t>
        </is>
      </c>
      <c r="B47" t="inlineStr">
        <is>
          <t>Kak Yudi</t>
        </is>
      </c>
      <c r="C47" t="inlineStr">
        <is>
          <t>SA-L</t>
        </is>
      </c>
      <c r="D47" t="n">
        <v>2</v>
      </c>
      <c r="E47" s="27" t="n">
        <v>7000</v>
      </c>
      <c r="F47" s="27">
        <f>D47*E47</f>
        <v/>
      </c>
      <c r="G47" s="27" t="n">
        <v>14000</v>
      </c>
      <c r="J47" t="inlineStr">
        <is>
          <t>2026-04-23</t>
        </is>
      </c>
      <c r="K47" t="inlineStr">
        <is>
          <t>Kak Yudi</t>
        </is>
      </c>
      <c r="L47" t="inlineStr">
        <is>
          <t>SA-L</t>
        </is>
      </c>
      <c r="M47" t="n">
        <v>2</v>
      </c>
      <c r="N47" s="27" t="n">
        <v>7000</v>
      </c>
      <c r="O47" s="27">
        <f>M47*N47</f>
        <v/>
      </c>
      <c r="P47" s="27" t="n">
        <v>14000</v>
      </c>
    </row>
    <row r="48">
      <c r="A48" t="inlineStr">
        <is>
          <t>2026-04-17</t>
        </is>
      </c>
      <c r="B48" t="inlineStr">
        <is>
          <t>Kak Yudi</t>
        </is>
      </c>
      <c r="C48" t="inlineStr">
        <is>
          <t xml:space="preserve">Sport-L </t>
        </is>
      </c>
      <c r="D48" t="n">
        <v>171</v>
      </c>
      <c r="E48" s="27" t="n">
        <v>7000</v>
      </c>
      <c r="F48" s="27">
        <f>D48*E48</f>
        <v/>
      </c>
      <c r="G48" s="27" t="n">
        <v>1197000</v>
      </c>
      <c r="J48" t="inlineStr">
        <is>
          <t>2026-04-23</t>
        </is>
      </c>
      <c r="K48" t="inlineStr">
        <is>
          <t>Kak Yudi</t>
        </is>
      </c>
      <c r="L48" t="inlineStr">
        <is>
          <t xml:space="preserve">Sport-L </t>
        </is>
      </c>
      <c r="M48" t="n">
        <v>171</v>
      </c>
      <c r="N48" s="27" t="n">
        <v>7000</v>
      </c>
      <c r="O48" s="27">
        <f>M48*N48</f>
        <v/>
      </c>
      <c r="P48" s="27" t="n">
        <v>1197000</v>
      </c>
    </row>
    <row r="49">
      <c r="A49" t="inlineStr">
        <is>
          <t>2026-04-17</t>
        </is>
      </c>
      <c r="B49" t="inlineStr">
        <is>
          <t>Kak Yudi</t>
        </is>
      </c>
      <c r="C49" t="inlineStr">
        <is>
          <t>Sport-L</t>
        </is>
      </c>
      <c r="D49" t="n">
        <v>171</v>
      </c>
      <c r="E49" s="27" t="n">
        <v>9000</v>
      </c>
      <c r="F49" s="27">
        <f>D49*E49</f>
        <v/>
      </c>
      <c r="G49" s="27" t="n">
        <v>1539000</v>
      </c>
      <c r="J49" t="inlineStr">
        <is>
          <t>2026-04-23</t>
        </is>
      </c>
      <c r="K49" t="inlineStr">
        <is>
          <t>Kak Yudi</t>
        </is>
      </c>
      <c r="L49" t="inlineStr">
        <is>
          <t>Sport-L</t>
        </is>
      </c>
      <c r="M49" t="n">
        <v>171</v>
      </c>
      <c r="N49" s="27" t="n">
        <v>9000</v>
      </c>
      <c r="O49" s="27">
        <f>M49*N49</f>
        <v/>
      </c>
      <c r="P49" s="27" t="n">
        <v>1539000</v>
      </c>
    </row>
    <row r="50">
      <c r="A50" t="inlineStr">
        <is>
          <t>2026-04-17</t>
        </is>
      </c>
      <c r="B50" t="inlineStr">
        <is>
          <t>Kak Yudi</t>
        </is>
      </c>
      <c r="C50" t="inlineStr">
        <is>
          <t>DG-L</t>
        </is>
      </c>
      <c r="D50" t="n">
        <v>1</v>
      </c>
      <c r="E50" s="27" t="n">
        <v>10000</v>
      </c>
      <c r="F50" s="27">
        <f>D50*E50</f>
        <v/>
      </c>
      <c r="G50" s="27" t="n">
        <v>10000</v>
      </c>
      <c r="J50" t="inlineStr">
        <is>
          <t>2026-04-23</t>
        </is>
      </c>
      <c r="K50" t="inlineStr">
        <is>
          <t>Kak Yudi</t>
        </is>
      </c>
      <c r="L50" t="inlineStr">
        <is>
          <t>DG-L</t>
        </is>
      </c>
      <c r="M50" t="n">
        <v>1</v>
      </c>
      <c r="N50" s="27" t="n">
        <v>10000</v>
      </c>
      <c r="O50" s="27">
        <f>M50*N50</f>
        <v/>
      </c>
      <c r="P50" s="27" t="n">
        <v>10000</v>
      </c>
    </row>
    <row r="51">
      <c r="A51" t="inlineStr">
        <is>
          <t>2026-04-17</t>
        </is>
      </c>
      <c r="B51" t="inlineStr">
        <is>
          <t>Kak Yudi</t>
        </is>
      </c>
      <c r="C51" t="inlineStr">
        <is>
          <t>Sport-S</t>
        </is>
      </c>
      <c r="D51" t="n">
        <v>1</v>
      </c>
      <c r="E51" s="27" t="n">
        <v>5000</v>
      </c>
      <c r="F51" s="27">
        <f>D51*E51</f>
        <v/>
      </c>
      <c r="G51" s="27" t="n">
        <v>5000</v>
      </c>
      <c r="J51" t="inlineStr">
        <is>
          <t>2026-04-23</t>
        </is>
      </c>
      <c r="K51" t="inlineStr">
        <is>
          <t>Kak Yudi</t>
        </is>
      </c>
      <c r="L51" t="inlineStr">
        <is>
          <t>Sport-S</t>
        </is>
      </c>
      <c r="M51" t="n">
        <v>1</v>
      </c>
      <c r="N51" s="27" t="n">
        <v>5000</v>
      </c>
      <c r="O51" s="27">
        <f>M51*N51</f>
        <v/>
      </c>
      <c r="P51" s="27" t="n">
        <v>5000</v>
      </c>
    </row>
    <row r="52">
      <c r="A52" t="inlineStr">
        <is>
          <t>2026-04-23</t>
        </is>
      </c>
      <c r="B52" t="inlineStr">
        <is>
          <t>Kak Yudi</t>
        </is>
      </c>
      <c r="C52" t="inlineStr">
        <is>
          <t>DG-Hitam</t>
        </is>
      </c>
      <c r="D52" t="n">
        <v>50</v>
      </c>
      <c r="E52" t="n">
        <v>9000</v>
      </c>
      <c r="F52">
        <f>D52*E52</f>
        <v/>
      </c>
      <c r="G52" t="n">
        <v>450000</v>
      </c>
      <c r="J52" t="inlineStr">
        <is>
          <t>2026-04-23</t>
        </is>
      </c>
      <c r="K52" t="inlineStr">
        <is>
          <t>Kak Yudi</t>
        </is>
      </c>
      <c r="L52" t="inlineStr">
        <is>
          <t>DG-Hitam</t>
        </is>
      </c>
      <c r="M52" t="n">
        <v>50</v>
      </c>
      <c r="N52" t="n">
        <v>9000</v>
      </c>
      <c r="O52">
        <f>M52*N52</f>
        <v/>
      </c>
      <c r="P52" t="n">
        <v>450000</v>
      </c>
    </row>
    <row r="53">
      <c r="A53" t="inlineStr">
        <is>
          <t>2026-04-23</t>
        </is>
      </c>
      <c r="B53" t="inlineStr">
        <is>
          <t>Kak Yudi</t>
        </is>
      </c>
      <c r="C53" t="inlineStr">
        <is>
          <t>DG-Maroon</t>
        </is>
      </c>
      <c r="D53" t="n">
        <v>50</v>
      </c>
      <c r="E53" t="n">
        <v>9000</v>
      </c>
      <c r="F53">
        <f>D53*E53</f>
        <v/>
      </c>
      <c r="G53" t="n">
        <v>450000</v>
      </c>
      <c r="J53" t="inlineStr">
        <is>
          <t>2026-04-23</t>
        </is>
      </c>
      <c r="K53" t="inlineStr">
        <is>
          <t>Kak Yudi</t>
        </is>
      </c>
      <c r="L53" t="inlineStr">
        <is>
          <t>DG-Maroon</t>
        </is>
      </c>
      <c r="M53" t="n">
        <v>50</v>
      </c>
      <c r="N53" t="n">
        <v>9000</v>
      </c>
      <c r="O53">
        <f>M53*N53</f>
        <v/>
      </c>
      <c r="P53" t="n">
        <v>450000</v>
      </c>
    </row>
    <row r="54">
      <c r="A54" t="inlineStr">
        <is>
          <t>2026-04-23</t>
        </is>
      </c>
      <c r="B54" t="inlineStr">
        <is>
          <t>Kak Yudi</t>
        </is>
      </c>
      <c r="C54" t="inlineStr">
        <is>
          <t>DG-Maroon</t>
        </is>
      </c>
      <c r="D54" t="n">
        <v>50</v>
      </c>
      <c r="E54" t="n">
        <v>9000</v>
      </c>
      <c r="F54">
        <f>D54*E54</f>
        <v/>
      </c>
      <c r="G54" t="n">
        <v>450000</v>
      </c>
      <c r="J54" t="inlineStr">
        <is>
          <t>2026-04-23</t>
        </is>
      </c>
      <c r="K54" t="inlineStr">
        <is>
          <t>Kak Yudi</t>
        </is>
      </c>
      <c r="L54" t="inlineStr">
        <is>
          <t>DG-Maroon</t>
        </is>
      </c>
      <c r="M54" t="n">
        <v>50</v>
      </c>
      <c r="N54" t="n">
        <v>9000</v>
      </c>
      <c r="O54">
        <f>M54*N54</f>
        <v/>
      </c>
      <c r="P54" t="n">
        <v>450000</v>
      </c>
    </row>
    <row r="55">
      <c r="A55" t="inlineStr">
        <is>
          <t>2026-04-24</t>
        </is>
      </c>
      <c r="B55" t="inlineStr">
        <is>
          <t>Kaji Yudi</t>
        </is>
      </c>
      <c r="C55" t="inlineStr">
        <is>
          <t>JSO-Hitam</t>
        </is>
      </c>
      <c r="D55" t="n">
        <v>160</v>
      </c>
      <c r="E55" t="n">
        <v>12000</v>
      </c>
      <c r="F55">
        <f>D55*E55</f>
        <v/>
      </c>
      <c r="G55" t="n">
        <v>1920000</v>
      </c>
      <c r="J55" t="inlineStr">
        <is>
          <t>2026-04-24</t>
        </is>
      </c>
      <c r="K55" t="inlineStr">
        <is>
          <t>Kaji Yudi</t>
        </is>
      </c>
      <c r="L55" t="inlineStr">
        <is>
          <t>JSO-Hitam</t>
        </is>
      </c>
      <c r="M55" t="n">
        <v>160</v>
      </c>
      <c r="N55" t="n">
        <v>12000</v>
      </c>
      <c r="O55">
        <f>M55*N55</f>
        <v/>
      </c>
      <c r="P55" t="n">
        <v>1920000</v>
      </c>
    </row>
    <row r="56">
      <c r="A56" t="inlineStr">
        <is>
          <t>2026-04-24</t>
        </is>
      </c>
      <c r="B56" t="inlineStr">
        <is>
          <t>Kak Yudi</t>
        </is>
      </c>
      <c r="C56" t="inlineStr">
        <is>
          <t>DG-Hitam</t>
        </is>
      </c>
      <c r="D56" t="n">
        <v>140</v>
      </c>
      <c r="E56" t="n">
        <v>9000</v>
      </c>
      <c r="F56">
        <f>D56*E56</f>
        <v/>
      </c>
      <c r="G56" t="n">
        <v>1260000</v>
      </c>
      <c r="J56" s="30" t="n">
        <v>46135</v>
      </c>
      <c r="K56" t="inlineStr">
        <is>
          <t>Kak Yudi</t>
        </is>
      </c>
      <c r="L56" t="inlineStr">
        <is>
          <t>DG-Hitam</t>
        </is>
      </c>
      <c r="M56" t="n">
        <v>140</v>
      </c>
      <c r="N56" t="n">
        <v>9000</v>
      </c>
      <c r="O56">
        <f>M56*N56</f>
        <v/>
      </c>
      <c r="P56" t="n">
        <v>1260000</v>
      </c>
    </row>
    <row r="57">
      <c r="A57" t="inlineStr">
        <is>
          <t>2026-04-24</t>
        </is>
      </c>
      <c r="B57" t="inlineStr">
        <is>
          <t>Kak Yudi</t>
        </is>
      </c>
      <c r="C57" t="inlineStr">
        <is>
          <t>DG-Beige-L</t>
        </is>
      </c>
      <c r="D57" t="n">
        <v>1</v>
      </c>
      <c r="E57" t="n">
        <v>10000</v>
      </c>
      <c r="F57">
        <f>D57*E57</f>
        <v/>
      </c>
      <c r="G57" t="n">
        <v>10000</v>
      </c>
      <c r="J57" s="30" t="n">
        <v>46135</v>
      </c>
      <c r="K57" t="inlineStr">
        <is>
          <t>Kak Yudi</t>
        </is>
      </c>
      <c r="L57" t="inlineStr">
        <is>
          <t>DG-Beige-L</t>
        </is>
      </c>
      <c r="M57" t="n">
        <v>1</v>
      </c>
      <c r="N57" t="n">
        <v>10000</v>
      </c>
      <c r="O57">
        <f>M57*N57</f>
        <v/>
      </c>
      <c r="P57" t="n">
        <v>10000</v>
      </c>
    </row>
    <row r="58">
      <c r="A58" t="inlineStr">
        <is>
          <t>2026-04-24</t>
        </is>
      </c>
      <c r="B58" t="inlineStr">
        <is>
          <t>Kak Yudi</t>
        </is>
      </c>
      <c r="C58" t="inlineStr">
        <is>
          <t>DG-Beige</t>
        </is>
      </c>
      <c r="D58" t="n">
        <v>10</v>
      </c>
      <c r="E58" t="n">
        <v>9000</v>
      </c>
      <c r="F58">
        <f>D58*E58</f>
        <v/>
      </c>
      <c r="G58" t="n">
        <v>90000</v>
      </c>
      <c r="J58" s="30" t="n">
        <v>46135</v>
      </c>
      <c r="K58" t="inlineStr">
        <is>
          <t>Kak Yudi</t>
        </is>
      </c>
      <c r="L58" t="inlineStr">
        <is>
          <t>DG-Beige</t>
        </is>
      </c>
      <c r="M58" t="n">
        <v>10</v>
      </c>
      <c r="N58" t="n">
        <v>9000</v>
      </c>
      <c r="O58">
        <f>M58*N58</f>
        <v/>
      </c>
      <c r="P58" t="n">
        <v>90000</v>
      </c>
    </row>
    <row r="59">
      <c r="A59" t="inlineStr">
        <is>
          <t>2026-04-24</t>
        </is>
      </c>
      <c r="B59" t="inlineStr">
        <is>
          <t>Kak Yudi</t>
        </is>
      </c>
      <c r="C59" t="inlineStr">
        <is>
          <t>SPORT-Navy-M</t>
        </is>
      </c>
      <c r="D59" t="n">
        <v>2</v>
      </c>
      <c r="E59" t="n">
        <v>7500</v>
      </c>
      <c r="F59">
        <f>D59*E59</f>
        <v/>
      </c>
      <c r="G59" t="n">
        <v>15000</v>
      </c>
      <c r="J59" s="30" t="n">
        <v>46135</v>
      </c>
      <c r="K59" t="inlineStr">
        <is>
          <t>Kak Yudi</t>
        </is>
      </c>
      <c r="L59" t="inlineStr">
        <is>
          <t>SPORT-Navy-M</t>
        </is>
      </c>
      <c r="M59" t="n">
        <v>2</v>
      </c>
      <c r="N59" t="n">
        <v>7500</v>
      </c>
      <c r="O59">
        <f>M59*N59</f>
        <v/>
      </c>
      <c r="P59" t="n">
        <v>15000</v>
      </c>
    </row>
    <row r="60">
      <c r="A60" t="inlineStr">
        <is>
          <t>2026-04-24</t>
        </is>
      </c>
      <c r="B60" t="inlineStr">
        <is>
          <t>Kak Yudi</t>
        </is>
      </c>
      <c r="C60" t="inlineStr">
        <is>
          <t>SPORT-Cokelat Tua-M</t>
        </is>
      </c>
      <c r="D60" t="n">
        <v>1</v>
      </c>
      <c r="E60" t="n">
        <v>7500</v>
      </c>
      <c r="F60">
        <f>D60*E60</f>
        <v/>
      </c>
      <c r="G60" t="n">
        <v>7500</v>
      </c>
      <c r="J60" s="30" t="n">
        <v>46135</v>
      </c>
      <c r="K60" t="inlineStr">
        <is>
          <t>Kak Yudi</t>
        </is>
      </c>
      <c r="L60" t="inlineStr">
        <is>
          <t>SPORT-Cokelat Tua-M</t>
        </is>
      </c>
      <c r="M60" t="n">
        <v>1</v>
      </c>
      <c r="N60" t="n">
        <v>7500</v>
      </c>
      <c r="O60">
        <f>M60*N60</f>
        <v/>
      </c>
      <c r="P60" t="n">
        <v>7500</v>
      </c>
    </row>
    <row r="61">
      <c r="A61" t="inlineStr">
        <is>
          <t>2026-04-24</t>
        </is>
      </c>
      <c r="B61" t="inlineStr">
        <is>
          <t>Kak Yudi</t>
        </is>
      </c>
      <c r="C61" t="inlineStr">
        <is>
          <t>SPORT-Hazelnut-M</t>
        </is>
      </c>
      <c r="D61" t="n">
        <v>1</v>
      </c>
      <c r="E61" t="n">
        <v>7500</v>
      </c>
      <c r="F61">
        <f>D61*E61</f>
        <v/>
      </c>
      <c r="G61" t="n">
        <v>7500</v>
      </c>
      <c r="J61" s="30" t="n">
        <v>46135</v>
      </c>
      <c r="K61" t="inlineStr">
        <is>
          <t>Kak Yudi</t>
        </is>
      </c>
      <c r="L61" t="inlineStr">
        <is>
          <t>SPORT-Hazelnut-M</t>
        </is>
      </c>
      <c r="M61" t="n">
        <v>1</v>
      </c>
      <c r="N61" t="n">
        <v>7500</v>
      </c>
      <c r="O61">
        <f>M61*N61</f>
        <v/>
      </c>
      <c r="P61" t="n">
        <v>7500</v>
      </c>
    </row>
    <row r="62">
      <c r="A62" t="inlineStr">
        <is>
          <t>2026-04-24</t>
        </is>
      </c>
      <c r="B62" t="inlineStr">
        <is>
          <t>Kak Yudi</t>
        </is>
      </c>
      <c r="C62" t="inlineStr">
        <is>
          <t>SPORT-Putih-L</t>
        </is>
      </c>
      <c r="D62" t="n">
        <v>1</v>
      </c>
      <c r="E62" t="n">
        <v>9500</v>
      </c>
      <c r="F62">
        <f>D62*E62</f>
        <v/>
      </c>
      <c r="G62" t="n">
        <v>9500</v>
      </c>
      <c r="J62" s="30" t="n">
        <v>46135</v>
      </c>
      <c r="K62" t="inlineStr">
        <is>
          <t>Kak Yudi</t>
        </is>
      </c>
      <c r="L62" t="inlineStr">
        <is>
          <t>SPORT-Putih-L</t>
        </is>
      </c>
      <c r="M62" t="n">
        <v>1</v>
      </c>
      <c r="N62" t="n">
        <v>9500</v>
      </c>
      <c r="O62">
        <f>M62*N62</f>
        <v/>
      </c>
      <c r="P62" t="n">
        <v>9500</v>
      </c>
    </row>
    <row r="63">
      <c r="A63" t="inlineStr">
        <is>
          <t>2026-04-24</t>
        </is>
      </c>
      <c r="B63" t="inlineStr">
        <is>
          <t>Kak Yudi</t>
        </is>
      </c>
      <c r="C63" t="inlineStr">
        <is>
          <t>SPORT-Sage-L</t>
        </is>
      </c>
      <c r="D63" t="n">
        <v>1</v>
      </c>
      <c r="E63" t="n">
        <v>9500</v>
      </c>
      <c r="F63">
        <f>D63*E63</f>
        <v/>
      </c>
      <c r="G63" t="n">
        <v>9500</v>
      </c>
      <c r="J63" s="30" t="n">
        <v>46135</v>
      </c>
      <c r="K63" t="inlineStr">
        <is>
          <t>Kak Yudi</t>
        </is>
      </c>
      <c r="L63" t="inlineStr">
        <is>
          <t>SPORT-Sage-L</t>
        </is>
      </c>
      <c r="M63" t="n">
        <v>1</v>
      </c>
      <c r="N63" t="n">
        <v>9500</v>
      </c>
      <c r="O63">
        <f>M63*N63</f>
        <v/>
      </c>
      <c r="P63" t="n">
        <v>9500</v>
      </c>
    </row>
    <row r="64">
      <c r="A64" t="inlineStr">
        <is>
          <t>2026-04-24</t>
        </is>
      </c>
      <c r="B64" t="inlineStr">
        <is>
          <t>Kak Yudi</t>
        </is>
      </c>
      <c r="C64" t="inlineStr">
        <is>
          <t>SPORT-Navy-L</t>
        </is>
      </c>
      <c r="D64" t="n">
        <v>1</v>
      </c>
      <c r="E64" t="n">
        <v>9500</v>
      </c>
      <c r="F64">
        <f>D64*E64</f>
        <v/>
      </c>
      <c r="G64" t="n">
        <v>9500</v>
      </c>
      <c r="J64" s="30" t="n">
        <v>46135</v>
      </c>
      <c r="K64" t="inlineStr">
        <is>
          <t>Kak Yudi</t>
        </is>
      </c>
      <c r="L64" t="inlineStr">
        <is>
          <t>SPORT-Navy-L</t>
        </is>
      </c>
      <c r="M64" t="n">
        <v>1</v>
      </c>
      <c r="N64" t="n">
        <v>9500</v>
      </c>
      <c r="O64">
        <f>M64*N64</f>
        <v/>
      </c>
      <c r="P64" t="n">
        <v>9500</v>
      </c>
    </row>
    <row r="65">
      <c r="A65" t="inlineStr">
        <is>
          <t>2026-04-25</t>
        </is>
      </c>
      <c r="B65" t="inlineStr">
        <is>
          <t>Kak Yudi</t>
        </is>
      </c>
      <c r="C65" t="inlineStr">
        <is>
          <t>SPORT-Hitam-L</t>
        </is>
      </c>
      <c r="D65" t="n">
        <v>2</v>
      </c>
      <c r="E65" t="n">
        <v>9500</v>
      </c>
      <c r="F65">
        <f>D65*E65</f>
        <v/>
      </c>
      <c r="G65" t="n">
        <v>19000</v>
      </c>
      <c r="J65" s="30" t="n">
        <v>46135</v>
      </c>
      <c r="K65" t="inlineStr">
        <is>
          <t>Kak Yudi</t>
        </is>
      </c>
      <c r="L65" t="inlineStr">
        <is>
          <t>SPORT-Hitam-L</t>
        </is>
      </c>
      <c r="M65" t="n">
        <v>2</v>
      </c>
      <c r="N65" t="n">
        <v>9500</v>
      </c>
      <c r="O65">
        <f>M65*N65</f>
        <v/>
      </c>
      <c r="P65" t="n">
        <v>19000</v>
      </c>
    </row>
    <row r="66">
      <c r="A66" t="inlineStr">
        <is>
          <t>2026-04-25</t>
        </is>
      </c>
      <c r="B66" t="inlineStr">
        <is>
          <t>Kak Yudi</t>
        </is>
      </c>
      <c r="C66" t="inlineStr">
        <is>
          <t>SPORT-Sage-L</t>
        </is>
      </c>
      <c r="D66" t="n">
        <v>1</v>
      </c>
      <c r="E66" t="n">
        <v>9500</v>
      </c>
      <c r="F66">
        <f>D66*E66</f>
        <v/>
      </c>
      <c r="G66" t="n">
        <v>9500</v>
      </c>
      <c r="J66" s="30" t="n">
        <v>46135</v>
      </c>
      <c r="K66" t="inlineStr">
        <is>
          <t>Kak Yudi</t>
        </is>
      </c>
      <c r="L66" t="inlineStr">
        <is>
          <t>SPORT-Sage-L</t>
        </is>
      </c>
      <c r="M66" t="n">
        <v>1</v>
      </c>
      <c r="N66" t="n">
        <v>9500</v>
      </c>
      <c r="O66">
        <f>M66*N66</f>
        <v/>
      </c>
      <c r="P66" t="n">
        <v>9500</v>
      </c>
    </row>
    <row r="67">
      <c r="A67" t="inlineStr">
        <is>
          <t>2026-04-25</t>
        </is>
      </c>
      <c r="B67" t="inlineStr">
        <is>
          <t>Kak Yudi</t>
        </is>
      </c>
      <c r="C67" t="inlineStr">
        <is>
          <t>SPORT-Taro-L</t>
        </is>
      </c>
      <c r="D67" t="n">
        <v>1</v>
      </c>
      <c r="E67" t="n">
        <v>9500</v>
      </c>
      <c r="F67">
        <f>D67*E67</f>
        <v/>
      </c>
      <c r="G67" t="n">
        <v>9500</v>
      </c>
      <c r="J67" s="30" t="n">
        <v>46135</v>
      </c>
      <c r="K67" t="inlineStr">
        <is>
          <t>Kak Yudi</t>
        </is>
      </c>
      <c r="L67" t="inlineStr">
        <is>
          <t>SPORT-Taro-L</t>
        </is>
      </c>
      <c r="M67" t="n">
        <v>1</v>
      </c>
      <c r="N67" t="n">
        <v>9500</v>
      </c>
      <c r="O67">
        <f>M67*N67</f>
        <v/>
      </c>
      <c r="P67" t="n">
        <v>9500</v>
      </c>
    </row>
    <row r="68">
      <c r="A68" t="inlineStr">
        <is>
          <t>2026-04-25</t>
        </is>
      </c>
      <c r="B68" t="inlineStr">
        <is>
          <t>Kak Yudi</t>
        </is>
      </c>
      <c r="C68" t="inlineStr">
        <is>
          <t>SPORT-Lime-M</t>
        </is>
      </c>
      <c r="D68" t="n">
        <v>7</v>
      </c>
      <c r="E68" t="n">
        <v>7500</v>
      </c>
      <c r="F68">
        <f>D68*E68</f>
        <v/>
      </c>
      <c r="G68" t="n">
        <v>52500</v>
      </c>
      <c r="J68" s="30" t="n">
        <v>46135</v>
      </c>
      <c r="K68" t="inlineStr">
        <is>
          <t>Kak Yudi</t>
        </is>
      </c>
      <c r="L68" t="inlineStr">
        <is>
          <t>SPORT-Lime-M</t>
        </is>
      </c>
      <c r="M68" t="n">
        <v>7</v>
      </c>
      <c r="N68" t="n">
        <v>7500</v>
      </c>
      <c r="O68">
        <f>M68*N68</f>
        <v/>
      </c>
      <c r="P68" t="n">
        <v>52500</v>
      </c>
    </row>
    <row r="69">
      <c r="A69" t="inlineStr">
        <is>
          <t>2026-04-25</t>
        </is>
      </c>
      <c r="B69" t="inlineStr">
        <is>
          <t>Kak Yudi</t>
        </is>
      </c>
      <c r="C69" t="inlineStr">
        <is>
          <t>SPORT-Putih-S</t>
        </is>
      </c>
      <c r="D69" t="n">
        <v>1</v>
      </c>
      <c r="E69" t="n">
        <v>5000</v>
      </c>
      <c r="F69">
        <f>D69*E69</f>
        <v/>
      </c>
      <c r="G69" t="n">
        <v>5000</v>
      </c>
      <c r="J69" s="30" t="n">
        <v>46135</v>
      </c>
      <c r="K69" t="inlineStr">
        <is>
          <t>Kak Yudi</t>
        </is>
      </c>
      <c r="L69" t="inlineStr">
        <is>
          <t>SPORT-Putih-S</t>
        </is>
      </c>
      <c r="M69" t="n">
        <v>1</v>
      </c>
      <c r="N69" t="n">
        <v>5000</v>
      </c>
      <c r="O69">
        <f>M69*N69</f>
        <v/>
      </c>
      <c r="P69" t="n">
        <v>5000</v>
      </c>
    </row>
    <row r="70">
      <c r="A70" t="inlineStr">
        <is>
          <t>2026-04-25</t>
        </is>
      </c>
      <c r="B70" t="inlineStr">
        <is>
          <t>Kak Yudi</t>
        </is>
      </c>
      <c r="C70" t="inlineStr">
        <is>
          <t>SPORT-Hitam-S</t>
        </is>
      </c>
      <c r="D70" t="n">
        <v>3</v>
      </c>
      <c r="E70" t="n">
        <v>5000</v>
      </c>
      <c r="F70">
        <f>D70*E70</f>
        <v/>
      </c>
      <c r="G70" t="n">
        <v>15000</v>
      </c>
      <c r="J70" s="30" t="n">
        <v>46135</v>
      </c>
      <c r="K70" t="inlineStr">
        <is>
          <t>Kak Yudi</t>
        </is>
      </c>
      <c r="L70" t="inlineStr">
        <is>
          <t>SPORT-Hitam-S</t>
        </is>
      </c>
      <c r="M70" t="n">
        <v>3</v>
      </c>
      <c r="N70" t="n">
        <v>5000</v>
      </c>
      <c r="O70">
        <f>M70*N70</f>
        <v/>
      </c>
      <c r="P70" t="n">
        <v>15000</v>
      </c>
    </row>
    <row r="71">
      <c r="A71" t="inlineStr">
        <is>
          <t>2026-04-25</t>
        </is>
      </c>
      <c r="B71" t="inlineStr">
        <is>
          <t>Kak Yudi</t>
        </is>
      </c>
      <c r="C71" t="inlineStr">
        <is>
          <t>SPORT-Denim-S</t>
        </is>
      </c>
      <c r="D71" t="n">
        <v>1</v>
      </c>
      <c r="E71" t="n">
        <v>5000</v>
      </c>
      <c r="F71">
        <f>D71*E71</f>
        <v/>
      </c>
      <c r="G71" t="n">
        <v>5000</v>
      </c>
      <c r="J71" s="30" t="n">
        <v>46135</v>
      </c>
      <c r="K71" t="inlineStr">
        <is>
          <t>Kak Yudi</t>
        </is>
      </c>
      <c r="L71" t="inlineStr">
        <is>
          <t>SPORT-Denim-S</t>
        </is>
      </c>
      <c r="M71" t="n">
        <v>1</v>
      </c>
      <c r="N71" t="n">
        <v>5000</v>
      </c>
      <c r="O71">
        <f>M71*N71</f>
        <v/>
      </c>
      <c r="P71" t="n">
        <v>5000</v>
      </c>
    </row>
    <row r="72">
      <c r="A72" t="inlineStr">
        <is>
          <t>2026-04-25</t>
        </is>
      </c>
      <c r="B72" t="inlineStr">
        <is>
          <t>Kak Yudi</t>
        </is>
      </c>
      <c r="C72" t="inlineStr">
        <is>
          <t>SA-Jotol-L</t>
        </is>
      </c>
      <c r="D72" t="n">
        <v>1</v>
      </c>
      <c r="E72" t="n">
        <v>7500</v>
      </c>
      <c r="F72">
        <f>D72*E72</f>
        <v/>
      </c>
      <c r="G72" t="n">
        <v>7500</v>
      </c>
      <c r="J72" s="30" t="n">
        <v>46135</v>
      </c>
      <c r="K72" t="inlineStr">
        <is>
          <t>Kak Yudi</t>
        </is>
      </c>
      <c r="L72" t="inlineStr">
        <is>
          <t>SA-Jotol-L</t>
        </is>
      </c>
      <c r="M72" t="n">
        <v>1</v>
      </c>
      <c r="N72" t="n">
        <v>7500</v>
      </c>
      <c r="O72">
        <f>M72*N72</f>
        <v/>
      </c>
      <c r="P72" t="n">
        <v>7500</v>
      </c>
    </row>
    <row r="73">
      <c r="A73" t="inlineStr">
        <is>
          <t>2026-04-25</t>
        </is>
      </c>
      <c r="B73" t="inlineStr">
        <is>
          <t>Kak Yudi</t>
        </is>
      </c>
      <c r="C73" t="inlineStr">
        <is>
          <t>DG-Beige-L</t>
        </is>
      </c>
      <c r="D73" t="n">
        <v>1</v>
      </c>
      <c r="E73" t="n">
        <v>10500</v>
      </c>
      <c r="F73">
        <f>D73*E73</f>
        <v/>
      </c>
      <c r="G73" t="n">
        <v>10500</v>
      </c>
      <c r="J73" s="30" t="n">
        <v>46135</v>
      </c>
      <c r="K73" t="inlineStr">
        <is>
          <t>Kak Yudi</t>
        </is>
      </c>
      <c r="L73" t="inlineStr">
        <is>
          <t>DG-Beige-L</t>
        </is>
      </c>
      <c r="M73" t="n">
        <v>1</v>
      </c>
      <c r="N73" t="n">
        <v>10500</v>
      </c>
      <c r="O73">
        <f>M73*N73</f>
        <v/>
      </c>
      <c r="P73" t="n">
        <v>10500</v>
      </c>
    </row>
    <row r="74">
      <c r="A74" t="inlineStr">
        <is>
          <t>2026-04-25</t>
        </is>
      </c>
      <c r="B74" t="inlineStr">
        <is>
          <t>Kak Yudi</t>
        </is>
      </c>
      <c r="C74" t="inlineStr">
        <is>
          <t>DG-Fossil-L</t>
        </is>
      </c>
      <c r="D74" t="n">
        <v>1</v>
      </c>
      <c r="E74" t="n">
        <v>10500</v>
      </c>
      <c r="F74">
        <f>D74*E74</f>
        <v/>
      </c>
      <c r="G74" t="n">
        <v>10500</v>
      </c>
      <c r="J74" s="30" t="n">
        <v>46135</v>
      </c>
      <c r="K74" t="inlineStr">
        <is>
          <t>Kak Yudi</t>
        </is>
      </c>
      <c r="L74" t="inlineStr">
        <is>
          <t>DG-Fossil-L</t>
        </is>
      </c>
      <c r="M74" t="n">
        <v>1</v>
      </c>
      <c r="N74" t="n">
        <v>10500</v>
      </c>
      <c r="O74">
        <f>M74*N74</f>
        <v/>
      </c>
      <c r="P74" t="n">
        <v>10500</v>
      </c>
    </row>
    <row r="75">
      <c r="A75" t="inlineStr">
        <is>
          <t>2026-04-25</t>
        </is>
      </c>
      <c r="B75" t="inlineStr">
        <is>
          <t>Kak Yudi</t>
        </is>
      </c>
      <c r="C75" t="inlineStr">
        <is>
          <t>DG-Beige</t>
        </is>
      </c>
      <c r="D75" t="n">
        <v>1</v>
      </c>
      <c r="E75" t="n">
        <v>9000</v>
      </c>
      <c r="F75">
        <f>D75*E75</f>
        <v/>
      </c>
      <c r="G75" t="n">
        <v>9000</v>
      </c>
      <c r="J75" s="30" t="n">
        <v>46135</v>
      </c>
      <c r="K75" t="inlineStr">
        <is>
          <t>Kak Yudi</t>
        </is>
      </c>
      <c r="L75" t="inlineStr">
        <is>
          <t>DG-Beige</t>
        </is>
      </c>
      <c r="M75" t="n">
        <v>1</v>
      </c>
      <c r="N75" t="n">
        <v>9000</v>
      </c>
      <c r="O75">
        <f>M75*N75</f>
        <v/>
      </c>
      <c r="P75" t="n">
        <v>9000</v>
      </c>
    </row>
    <row r="76">
      <c r="A76" t="inlineStr">
        <is>
          <t>2026-04-25</t>
        </is>
      </c>
      <c r="B76" t="inlineStr">
        <is>
          <t>Kak Hari</t>
        </is>
      </c>
      <c r="C76" t="inlineStr">
        <is>
          <t>JSO-Cream</t>
        </is>
      </c>
      <c r="D76" t="n">
        <v>161</v>
      </c>
      <c r="E76" t="n">
        <v>12000</v>
      </c>
      <c r="F76">
        <f>D76*E76</f>
        <v/>
      </c>
      <c r="G76" t="n">
        <v>90000</v>
      </c>
      <c r="J76" s="30" t="n">
        <v>46135</v>
      </c>
      <c r="K76" t="inlineStr">
        <is>
          <t>Kak Hari</t>
        </is>
      </c>
      <c r="L76" t="inlineStr">
        <is>
          <t>JSO-Cream</t>
        </is>
      </c>
      <c r="M76" t="n">
        <v>161</v>
      </c>
      <c r="N76" t="n">
        <v>12000</v>
      </c>
      <c r="O76">
        <f>M76*N76</f>
        <v/>
      </c>
      <c r="P76" t="n">
        <v>90000</v>
      </c>
    </row>
    <row r="77">
      <c r="A77" t="inlineStr">
        <is>
          <t>2026-04-25</t>
        </is>
      </c>
      <c r="B77" t="inlineStr">
        <is>
          <t>Kak Hari</t>
        </is>
      </c>
      <c r="C77" t="inlineStr">
        <is>
          <t>JSO-Beige</t>
        </is>
      </c>
      <c r="D77" t="n">
        <v>160</v>
      </c>
      <c r="E77" t="n">
        <v>12000</v>
      </c>
      <c r="F77">
        <f>D77*E77</f>
        <v/>
      </c>
      <c r="G77" t="n">
        <v>1920000</v>
      </c>
      <c r="J77" s="30" t="n">
        <v>46135</v>
      </c>
      <c r="K77" t="inlineStr">
        <is>
          <t>Kak Hari</t>
        </is>
      </c>
      <c r="L77" t="inlineStr">
        <is>
          <t>JSO-Beige</t>
        </is>
      </c>
      <c r="M77" t="n">
        <v>160</v>
      </c>
      <c r="N77" t="n">
        <v>12000</v>
      </c>
      <c r="O77">
        <f>M77*N77</f>
        <v/>
      </c>
      <c r="P77" t="n">
        <v>1920000</v>
      </c>
    </row>
    <row r="78">
      <c r="A78" t="inlineStr">
        <is>
          <t>2026-04-25</t>
        </is>
      </c>
      <c r="B78" t="inlineStr">
        <is>
          <t>Kak Hari</t>
        </is>
      </c>
      <c r="C78" t="inlineStr">
        <is>
          <t>JSO-Hitam</t>
        </is>
      </c>
      <c r="D78" t="n">
        <v>203</v>
      </c>
      <c r="E78" t="n">
        <v>12000</v>
      </c>
      <c r="F78">
        <f>D78*E78</f>
        <v/>
      </c>
      <c r="G78" t="n">
        <v>2436000</v>
      </c>
      <c r="J78" s="30" t="n">
        <v>46135</v>
      </c>
      <c r="K78" t="inlineStr">
        <is>
          <t>Kak Hari</t>
        </is>
      </c>
      <c r="L78" t="inlineStr">
        <is>
          <t>JSO-Hitam</t>
        </is>
      </c>
      <c r="M78" t="n">
        <v>203</v>
      </c>
      <c r="N78" t="n">
        <v>12000</v>
      </c>
      <c r="O78">
        <f>M78*N78</f>
        <v/>
      </c>
      <c r="P78" t="n">
        <v>2436000</v>
      </c>
    </row>
    <row r="79">
      <c r="A79" t="inlineStr">
        <is>
          <t>2026-04-25</t>
        </is>
      </c>
      <c r="B79" t="inlineStr">
        <is>
          <t>Kak Hari</t>
        </is>
      </c>
      <c r="C79" t="inlineStr">
        <is>
          <t>JSO-Dark Grey</t>
        </is>
      </c>
      <c r="D79" t="n">
        <v>147</v>
      </c>
      <c r="E79" t="n">
        <v>12000</v>
      </c>
      <c r="F79">
        <f>D79*E79</f>
        <v/>
      </c>
      <c r="G79" t="n">
        <v>1764000</v>
      </c>
      <c r="J79" s="30" t="n">
        <v>46135</v>
      </c>
      <c r="K79" t="inlineStr">
        <is>
          <t>Kak Hari</t>
        </is>
      </c>
      <c r="L79" t="inlineStr">
        <is>
          <t>JSO-Dark Grey</t>
        </is>
      </c>
      <c r="M79" t="n">
        <v>147</v>
      </c>
      <c r="N79" t="n">
        <v>12000</v>
      </c>
      <c r="O79">
        <f>M79*N79</f>
        <v/>
      </c>
      <c r="P79" t="n">
        <v>1764000</v>
      </c>
    </row>
    <row r="80">
      <c r="A80" t="inlineStr">
        <is>
          <t>2026-04-25</t>
        </is>
      </c>
      <c r="B80" t="inlineStr">
        <is>
          <t>Kak Hari</t>
        </is>
      </c>
      <c r="C80" t="inlineStr">
        <is>
          <t>JSO-Almond</t>
        </is>
      </c>
      <c r="D80" t="n">
        <v>148</v>
      </c>
      <c r="E80" t="n">
        <v>12000</v>
      </c>
      <c r="F80">
        <f>D80*E80</f>
        <v/>
      </c>
      <c r="G80" t="n">
        <v>1776000</v>
      </c>
      <c r="J80" s="30" t="n">
        <v>46135</v>
      </c>
      <c r="K80" t="inlineStr">
        <is>
          <t>Kak Hari</t>
        </is>
      </c>
      <c r="L80" t="inlineStr">
        <is>
          <t>JSO-Almond</t>
        </is>
      </c>
      <c r="M80" t="n">
        <v>148</v>
      </c>
      <c r="N80" t="n">
        <v>12000</v>
      </c>
      <c r="O80">
        <f>M80*N80</f>
        <v/>
      </c>
      <c r="P80" t="n">
        <v>1776000</v>
      </c>
    </row>
    <row r="81">
      <c r="A81" t="inlineStr">
        <is>
          <t>2026-04-25</t>
        </is>
      </c>
      <c r="B81" t="inlineStr">
        <is>
          <t>Kak Hari</t>
        </is>
      </c>
      <c r="C81" t="inlineStr">
        <is>
          <t>JSO-Burgundy</t>
        </is>
      </c>
      <c r="D81" t="n">
        <v>170</v>
      </c>
      <c r="E81" t="n">
        <v>12000</v>
      </c>
      <c r="F81">
        <f>D81*E81</f>
        <v/>
      </c>
      <c r="G81" t="n">
        <v>2040000</v>
      </c>
      <c r="J81" s="30" t="n">
        <v>46135</v>
      </c>
      <c r="K81" t="inlineStr">
        <is>
          <t>Kak Hari</t>
        </is>
      </c>
      <c r="L81" t="inlineStr">
        <is>
          <t>JSO-Burgundy</t>
        </is>
      </c>
      <c r="M81" t="n">
        <v>170</v>
      </c>
      <c r="N81" t="n">
        <v>12000</v>
      </c>
      <c r="O81">
        <f>M81*N81</f>
        <v/>
      </c>
      <c r="P81" t="n">
        <v>2040000</v>
      </c>
    </row>
    <row r="82">
      <c r="A82" t="inlineStr">
        <is>
          <t>2026-04-25</t>
        </is>
      </c>
      <c r="B82" t="inlineStr">
        <is>
          <t>Kak Hari</t>
        </is>
      </c>
      <c r="C82" t="inlineStr">
        <is>
          <t>JSO-Hitam</t>
        </is>
      </c>
      <c r="D82" t="n">
        <v>140</v>
      </c>
      <c r="E82" t="n">
        <v>12000</v>
      </c>
      <c r="F82">
        <f>D82*E82</f>
        <v/>
      </c>
      <c r="G82" t="n">
        <v>1680000</v>
      </c>
      <c r="J82" s="30" t="n">
        <v>46135</v>
      </c>
      <c r="K82" t="inlineStr">
        <is>
          <t>Kak Hari</t>
        </is>
      </c>
      <c r="L82" t="inlineStr">
        <is>
          <t>JSO-Hitam</t>
        </is>
      </c>
      <c r="M82" t="n">
        <v>140</v>
      </c>
      <c r="N82" t="n">
        <v>12000</v>
      </c>
      <c r="O82">
        <f>M82*N82</f>
        <v/>
      </c>
      <c r="P82" t="n">
        <v>1680000</v>
      </c>
    </row>
    <row r="83">
      <c r="A83" t="inlineStr">
        <is>
          <t>2026-04-25</t>
        </is>
      </c>
      <c r="B83" t="inlineStr">
        <is>
          <t>Kak Hari</t>
        </is>
      </c>
      <c r="C83" t="inlineStr">
        <is>
          <t>JSO-Sage</t>
        </is>
      </c>
      <c r="D83" t="n">
        <v>170</v>
      </c>
      <c r="E83" t="n">
        <v>12000</v>
      </c>
      <c r="F83">
        <f>D83*E83</f>
        <v/>
      </c>
      <c r="G83" t="n">
        <v>2040000</v>
      </c>
      <c r="J83" s="30" t="n">
        <v>46135</v>
      </c>
      <c r="K83" t="inlineStr">
        <is>
          <t>Kak Hari</t>
        </is>
      </c>
      <c r="L83" t="inlineStr">
        <is>
          <t>JSO-Sage</t>
        </is>
      </c>
      <c r="M83" t="n">
        <v>170</v>
      </c>
      <c r="N83" t="n">
        <v>12000</v>
      </c>
      <c r="O83">
        <f>M83*N83</f>
        <v/>
      </c>
      <c r="P83" t="n">
        <v>2040000</v>
      </c>
    </row>
    <row r="84">
      <c r="A84" t="inlineStr">
        <is>
          <t>2026-04-25</t>
        </is>
      </c>
      <c r="B84" t="inlineStr">
        <is>
          <t>Kak Hari</t>
        </is>
      </c>
      <c r="C84" t="inlineStr">
        <is>
          <t>JSO-Dusty Pink</t>
        </is>
      </c>
      <c r="D84" t="n">
        <v>170</v>
      </c>
      <c r="E84" t="n">
        <v>12000</v>
      </c>
      <c r="F84">
        <f>D84*E84</f>
        <v/>
      </c>
      <c r="G84" t="n">
        <v>2040000</v>
      </c>
      <c r="J84" s="30" t="n">
        <v>46135</v>
      </c>
      <c r="K84" t="inlineStr">
        <is>
          <t>Kak Hari</t>
        </is>
      </c>
      <c r="L84" t="inlineStr">
        <is>
          <t>JSO-Dusty Pink</t>
        </is>
      </c>
      <c r="M84" t="n">
        <v>170</v>
      </c>
      <c r="N84" t="n">
        <v>12000</v>
      </c>
      <c r="O84">
        <f>M84*N84</f>
        <v/>
      </c>
      <c r="P84" t="n">
        <v>2040000</v>
      </c>
    </row>
    <row r="85">
      <c r="A85" t="inlineStr">
        <is>
          <t>2026-04-25</t>
        </is>
      </c>
      <c r="B85" t="inlineStr">
        <is>
          <t>Kak Hari</t>
        </is>
      </c>
      <c r="C85" t="inlineStr">
        <is>
          <t>JSO-Grey</t>
        </is>
      </c>
      <c r="D85" t="n">
        <v>98</v>
      </c>
      <c r="E85" t="n">
        <v>12000</v>
      </c>
      <c r="F85">
        <f>D85*E85</f>
        <v/>
      </c>
      <c r="G85" t="n">
        <v>1176000</v>
      </c>
      <c r="J85" s="30" t="n">
        <v>46135</v>
      </c>
      <c r="K85" t="inlineStr">
        <is>
          <t>Kak Hari</t>
        </is>
      </c>
      <c r="L85" t="inlineStr">
        <is>
          <t>JSO-Grey</t>
        </is>
      </c>
      <c r="M85" t="n">
        <v>98</v>
      </c>
      <c r="N85" t="n">
        <v>12000</v>
      </c>
      <c r="O85">
        <f>M85*N85</f>
        <v/>
      </c>
      <c r="P85" t="n">
        <v>1176000</v>
      </c>
    </row>
    <row r="86">
      <c r="A86" t="inlineStr">
        <is>
          <t>2026-04-25</t>
        </is>
      </c>
      <c r="B86" t="inlineStr">
        <is>
          <t>Kak Hari</t>
        </is>
      </c>
      <c r="C86" t="inlineStr">
        <is>
          <t>JSO-Cokelat Tua</t>
        </is>
      </c>
      <c r="D86" t="n">
        <v>150</v>
      </c>
      <c r="E86" t="n">
        <v>12000</v>
      </c>
      <c r="F86">
        <f>D86*E86</f>
        <v/>
      </c>
      <c r="G86" t="n">
        <v>1800000</v>
      </c>
      <c r="J86" s="30" t="n">
        <v>46135</v>
      </c>
      <c r="K86" t="inlineStr">
        <is>
          <t>Kak Hari</t>
        </is>
      </c>
      <c r="L86" t="inlineStr">
        <is>
          <t>JSO-Cokelat Tua</t>
        </is>
      </c>
      <c r="M86" t="n">
        <v>150</v>
      </c>
      <c r="N86" t="n">
        <v>12000</v>
      </c>
      <c r="O86">
        <f>M86*N86</f>
        <v/>
      </c>
      <c r="P86" t="n">
        <v>1800000</v>
      </c>
    </row>
    <row r="87">
      <c r="A87" t="inlineStr">
        <is>
          <t>2026-04-25</t>
        </is>
      </c>
      <c r="B87" t="inlineStr">
        <is>
          <t>Kak Hari</t>
        </is>
      </c>
      <c r="C87" t="inlineStr">
        <is>
          <t>JSO-Army</t>
        </is>
      </c>
      <c r="D87" t="n">
        <v>120</v>
      </c>
      <c r="E87" t="n">
        <v>12000</v>
      </c>
      <c r="F87">
        <f>D87*E87</f>
        <v/>
      </c>
      <c r="G87" t="n">
        <v>1440000</v>
      </c>
      <c r="J87" s="30" t="n">
        <v>46135</v>
      </c>
      <c r="K87" t="inlineStr">
        <is>
          <t>Kak Hari</t>
        </is>
      </c>
      <c r="L87" t="inlineStr">
        <is>
          <t>JSO-Army</t>
        </is>
      </c>
      <c r="M87" t="n">
        <v>120</v>
      </c>
      <c r="N87" t="n">
        <v>12000</v>
      </c>
      <c r="O87">
        <f>M87*N87</f>
        <v/>
      </c>
      <c r="P87" t="n">
        <v>1440000</v>
      </c>
    </row>
    <row r="88">
      <c r="A88" t="inlineStr">
        <is>
          <t>2026-04-25</t>
        </is>
      </c>
      <c r="B88" t="inlineStr">
        <is>
          <t>Kak Hari</t>
        </is>
      </c>
      <c r="C88" t="inlineStr">
        <is>
          <t>JSO-Fossil</t>
        </is>
      </c>
      <c r="D88" t="n">
        <v>50</v>
      </c>
      <c r="E88" t="n">
        <v>12000</v>
      </c>
      <c r="F88">
        <f>D88*E88</f>
        <v/>
      </c>
      <c r="G88" t="n">
        <v>600000</v>
      </c>
      <c r="J88" s="30" t="n">
        <v>46135</v>
      </c>
      <c r="K88" t="inlineStr">
        <is>
          <t>Kak Hari</t>
        </is>
      </c>
      <c r="L88" t="inlineStr">
        <is>
          <t>JSO-Fossil</t>
        </is>
      </c>
      <c r="M88" t="n">
        <v>50</v>
      </c>
      <c r="N88" t="n">
        <v>12000</v>
      </c>
      <c r="O88">
        <f>M88*N88</f>
        <v/>
      </c>
      <c r="P88" t="n">
        <v>600000</v>
      </c>
    </row>
    <row r="89">
      <c r="A89" t="inlineStr">
        <is>
          <t>2026-04-25</t>
        </is>
      </c>
      <c r="B89" t="inlineStr">
        <is>
          <t>Kak Hari</t>
        </is>
      </c>
      <c r="C89" t="inlineStr">
        <is>
          <t>DG-Grey</t>
        </is>
      </c>
      <c r="D89" t="n">
        <v>99</v>
      </c>
      <c r="E89" t="n">
        <v>9000</v>
      </c>
      <c r="F89">
        <f>D89*E89</f>
        <v/>
      </c>
      <c r="G89" t="n">
        <v>891000</v>
      </c>
      <c r="J89" s="30" t="n">
        <v>46135</v>
      </c>
      <c r="K89" t="inlineStr">
        <is>
          <t>Kak Hari</t>
        </is>
      </c>
      <c r="L89" t="inlineStr">
        <is>
          <t>DG-Grey</t>
        </is>
      </c>
      <c r="M89" t="n">
        <v>99</v>
      </c>
      <c r="N89" t="n">
        <v>9000</v>
      </c>
      <c r="O89">
        <f>M89*N89</f>
        <v/>
      </c>
      <c r="P89" t="n">
        <v>891000</v>
      </c>
    </row>
    <row r="90">
      <c r="A90" t="inlineStr">
        <is>
          <t>2026-04-25</t>
        </is>
      </c>
      <c r="B90" t="inlineStr">
        <is>
          <t>Kak Hari</t>
        </is>
      </c>
      <c r="C90" t="inlineStr">
        <is>
          <t>JSO-Beige</t>
        </is>
      </c>
      <c r="D90" t="n">
        <v>24</v>
      </c>
      <c r="E90" t="n">
        <v>12000</v>
      </c>
      <c r="F90">
        <f>D90*E90</f>
        <v/>
      </c>
      <c r="G90" t="n">
        <v>288000</v>
      </c>
      <c r="J90" s="30" t="n">
        <v>46135</v>
      </c>
      <c r="K90" t="inlineStr">
        <is>
          <t>Kak Hari</t>
        </is>
      </c>
      <c r="L90" t="inlineStr">
        <is>
          <t>JSO-Beige</t>
        </is>
      </c>
      <c r="M90" t="n">
        <v>24</v>
      </c>
      <c r="N90" t="n">
        <v>12000</v>
      </c>
      <c r="O90">
        <f>M90*N90</f>
        <v/>
      </c>
      <c r="P90" t="n">
        <v>288000</v>
      </c>
    </row>
    <row r="91">
      <c r="A91" t="inlineStr">
        <is>
          <t>2026-04-25</t>
        </is>
      </c>
      <c r="B91" t="inlineStr">
        <is>
          <t>Kak Hari</t>
        </is>
      </c>
      <c r="C91" t="inlineStr">
        <is>
          <t>JSO-Fossil</t>
        </is>
      </c>
      <c r="D91" t="n">
        <v>140</v>
      </c>
      <c r="E91" t="n">
        <v>12000</v>
      </c>
      <c r="F91">
        <f>D91*E91</f>
        <v/>
      </c>
      <c r="G91" t="n">
        <v>1680000</v>
      </c>
      <c r="J91" s="30" t="n">
        <v>46135</v>
      </c>
      <c r="K91" t="inlineStr">
        <is>
          <t>Kak Hari</t>
        </is>
      </c>
      <c r="L91" t="inlineStr">
        <is>
          <t>JSO-Fossil</t>
        </is>
      </c>
      <c r="M91" t="n">
        <v>140</v>
      </c>
      <c r="N91" t="n">
        <v>12000</v>
      </c>
      <c r="O91">
        <f>M91*N91</f>
        <v/>
      </c>
      <c r="P91" t="n">
        <v>1680000</v>
      </c>
    </row>
    <row r="92">
      <c r="A92" t="inlineStr">
        <is>
          <t>2026-04-25</t>
        </is>
      </c>
      <c r="B92" t="inlineStr">
        <is>
          <t>Kak Hari</t>
        </is>
      </c>
      <c r="C92" t="inlineStr">
        <is>
          <t>JSO-Army</t>
        </is>
      </c>
      <c r="D92" t="n">
        <v>10</v>
      </c>
      <c r="E92" t="n">
        <v>12000</v>
      </c>
      <c r="F92">
        <f>D92*E92</f>
        <v/>
      </c>
      <c r="G92" t="n">
        <v>120000</v>
      </c>
      <c r="J92" s="30" t="n">
        <v>46135</v>
      </c>
      <c r="K92" t="inlineStr">
        <is>
          <t>Kak Hari</t>
        </is>
      </c>
      <c r="L92" t="inlineStr">
        <is>
          <t>JSO-Army</t>
        </is>
      </c>
      <c r="M92" t="n">
        <v>10</v>
      </c>
      <c r="N92" t="n">
        <v>12000</v>
      </c>
      <c r="O92">
        <f>M92*N92</f>
        <v/>
      </c>
      <c r="P92" t="n">
        <v>120000</v>
      </c>
    </row>
    <row r="93">
      <c r="A93" t="inlineStr">
        <is>
          <t>2026-04-25</t>
        </is>
      </c>
      <c r="B93" t="inlineStr">
        <is>
          <t>Kak Hari</t>
        </is>
      </c>
      <c r="C93" t="inlineStr">
        <is>
          <t>JSO-Cokelat Tua</t>
        </is>
      </c>
      <c r="D93" t="n">
        <v>36</v>
      </c>
      <c r="E93" t="n">
        <v>12000</v>
      </c>
      <c r="F93">
        <f>D93*E93</f>
        <v/>
      </c>
      <c r="G93" t="n">
        <v>432000</v>
      </c>
      <c r="J93" s="30" t="n">
        <v>46135</v>
      </c>
      <c r="K93" t="inlineStr">
        <is>
          <t>Kak Hari</t>
        </is>
      </c>
      <c r="L93" t="inlineStr">
        <is>
          <t>JSO-Cokelat Tua</t>
        </is>
      </c>
      <c r="M93" t="n">
        <v>36</v>
      </c>
      <c r="N93" t="n">
        <v>12000</v>
      </c>
      <c r="O93">
        <f>M93*N93</f>
        <v/>
      </c>
      <c r="P93" t="n">
        <v>432000</v>
      </c>
    </row>
    <row r="94">
      <c r="A94" t="inlineStr">
        <is>
          <t>2026-04-27</t>
        </is>
      </c>
      <c r="B94" t="inlineStr">
        <is>
          <t>Kak Yudi</t>
        </is>
      </c>
      <c r="C94" t="inlineStr">
        <is>
          <t>DG-Hitam</t>
        </is>
      </c>
      <c r="D94" t="n">
        <v>10</v>
      </c>
      <c r="E94" t="n">
        <v>9000</v>
      </c>
      <c r="F94">
        <f>D94*E94</f>
        <v/>
      </c>
      <c r="G94" t="n">
        <v>90000</v>
      </c>
      <c r="J94" s="30" t="n">
        <v>46146</v>
      </c>
      <c r="K94" t="inlineStr">
        <is>
          <t>Kak Yudi</t>
        </is>
      </c>
      <c r="L94" t="inlineStr">
        <is>
          <t>DG-Hitam</t>
        </is>
      </c>
      <c r="M94" t="n">
        <v>10</v>
      </c>
      <c r="N94" t="n">
        <v>9000</v>
      </c>
      <c r="O94">
        <f>M94*N94</f>
        <v/>
      </c>
      <c r="P94" t="n">
        <v>90000</v>
      </c>
    </row>
    <row r="95">
      <c r="A95" t="inlineStr">
        <is>
          <t>2026-04-27</t>
        </is>
      </c>
      <c r="B95" t="inlineStr">
        <is>
          <t>Kak Yudi</t>
        </is>
      </c>
      <c r="C95" t="inlineStr">
        <is>
          <t>DG-Turkish-L</t>
        </is>
      </c>
      <c r="D95" t="n">
        <v>1</v>
      </c>
      <c r="E95" t="n">
        <v>10500</v>
      </c>
      <c r="F95">
        <f>D95*E95</f>
        <v/>
      </c>
      <c r="G95" t="n">
        <v>10500</v>
      </c>
      <c r="J95" s="30" t="n">
        <v>46146</v>
      </c>
      <c r="K95" t="inlineStr">
        <is>
          <t>Kak Yudi</t>
        </is>
      </c>
      <c r="L95" t="inlineStr">
        <is>
          <t>DG-Turkish-L</t>
        </is>
      </c>
      <c r="M95" t="n">
        <v>1</v>
      </c>
      <c r="N95" t="n">
        <v>10500</v>
      </c>
      <c r="O95">
        <f>M95*N95</f>
        <v/>
      </c>
      <c r="P95" t="n">
        <v>10500</v>
      </c>
    </row>
    <row r="96">
      <c r="A96" t="inlineStr">
        <is>
          <t>2026-04-27</t>
        </is>
      </c>
      <c r="B96" t="inlineStr">
        <is>
          <t>Kak Yudi</t>
        </is>
      </c>
      <c r="C96" t="inlineStr">
        <is>
          <t>DG-Caramel-L</t>
        </is>
      </c>
      <c r="D96" t="n">
        <v>2</v>
      </c>
      <c r="E96" t="n">
        <v>10500</v>
      </c>
      <c r="F96">
        <f>D96*E96</f>
        <v/>
      </c>
      <c r="G96" t="n">
        <v>21000</v>
      </c>
      <c r="J96" s="30" t="n">
        <v>46146</v>
      </c>
      <c r="K96" t="inlineStr">
        <is>
          <t>Kak Yudi</t>
        </is>
      </c>
      <c r="L96" t="inlineStr">
        <is>
          <t>DG-Caramel-L</t>
        </is>
      </c>
      <c r="M96" t="n">
        <v>2</v>
      </c>
      <c r="N96" t="n">
        <v>10500</v>
      </c>
      <c r="O96">
        <f>M96*N96</f>
        <v/>
      </c>
      <c r="P96" t="n">
        <v>21000</v>
      </c>
    </row>
    <row r="97">
      <c r="A97" t="inlineStr">
        <is>
          <t>2026-04-27</t>
        </is>
      </c>
      <c r="B97" t="inlineStr">
        <is>
          <t>Kak Yudi</t>
        </is>
      </c>
      <c r="C97" t="inlineStr">
        <is>
          <t>SPORT-Hitam-L</t>
        </is>
      </c>
      <c r="D97" t="n">
        <v>1</v>
      </c>
      <c r="E97" t="n">
        <v>9500</v>
      </c>
      <c r="F97">
        <f>D97*E97</f>
        <v/>
      </c>
      <c r="G97" t="n">
        <v>9500</v>
      </c>
      <c r="J97" s="30" t="n">
        <v>46146</v>
      </c>
      <c r="K97" t="inlineStr">
        <is>
          <t>Kak Yudi</t>
        </is>
      </c>
      <c r="L97" t="inlineStr">
        <is>
          <t>SPORT-Hitam-L</t>
        </is>
      </c>
      <c r="M97" t="n">
        <v>1</v>
      </c>
      <c r="N97" t="n">
        <v>9500</v>
      </c>
      <c r="O97">
        <f>M97*N97</f>
        <v/>
      </c>
      <c r="P97" t="n">
        <v>9500</v>
      </c>
    </row>
    <row r="98">
      <c r="A98" t="inlineStr">
        <is>
          <t>2026-04-27</t>
        </is>
      </c>
      <c r="B98" t="inlineStr">
        <is>
          <t>Kak Yudi</t>
        </is>
      </c>
      <c r="C98" t="inlineStr">
        <is>
          <t>SPORT-Navy-L</t>
        </is>
      </c>
      <c r="D98" t="n">
        <v>1</v>
      </c>
      <c r="E98" t="n">
        <v>9500</v>
      </c>
      <c r="F98">
        <f>D98*E98</f>
        <v/>
      </c>
      <c r="G98" t="n">
        <v>9500</v>
      </c>
      <c r="J98" s="30" t="n">
        <v>46146</v>
      </c>
      <c r="K98" t="inlineStr">
        <is>
          <t>Kak Yudi</t>
        </is>
      </c>
      <c r="L98" t="inlineStr">
        <is>
          <t>SPORT-Navy-L</t>
        </is>
      </c>
      <c r="M98" t="n">
        <v>1</v>
      </c>
      <c r="N98" t="n">
        <v>9500</v>
      </c>
      <c r="O98">
        <f>M98*N98</f>
        <v/>
      </c>
      <c r="P98" t="n">
        <v>9500</v>
      </c>
    </row>
    <row r="99">
      <c r="A99" t="inlineStr">
        <is>
          <t>2026-04-27</t>
        </is>
      </c>
      <c r="B99" t="inlineStr">
        <is>
          <t>Kak Yudi</t>
        </is>
      </c>
      <c r="C99" t="inlineStr">
        <is>
          <t>SPORT-Grey-L</t>
        </is>
      </c>
      <c r="D99" t="n">
        <v>1</v>
      </c>
      <c r="E99" t="n">
        <v>9500</v>
      </c>
      <c r="F99">
        <f>D99*E99</f>
        <v/>
      </c>
      <c r="G99" t="n">
        <v>9500</v>
      </c>
      <c r="J99" s="30" t="n">
        <v>46146</v>
      </c>
      <c r="K99" t="inlineStr">
        <is>
          <t>Kak Yudi</t>
        </is>
      </c>
      <c r="L99" t="inlineStr">
        <is>
          <t>SPORT-Grey-L</t>
        </is>
      </c>
      <c r="M99" t="n">
        <v>1</v>
      </c>
      <c r="N99" t="n">
        <v>9500</v>
      </c>
      <c r="O99">
        <f>M99*N99</f>
        <v/>
      </c>
      <c r="P99" t="n">
        <v>9500</v>
      </c>
    </row>
    <row r="100">
      <c r="A100" t="inlineStr">
        <is>
          <t>2026-04-27</t>
        </is>
      </c>
      <c r="B100" t="inlineStr">
        <is>
          <t>Kak Yudi</t>
        </is>
      </c>
      <c r="C100" t="inlineStr">
        <is>
          <t>SPORT-Hitam-M</t>
        </is>
      </c>
      <c r="D100" t="n">
        <v>2</v>
      </c>
      <c r="E100" t="n">
        <v>7500</v>
      </c>
      <c r="F100">
        <f>D100*E100</f>
        <v/>
      </c>
      <c r="G100" t="n">
        <v>15000</v>
      </c>
      <c r="J100" s="30" t="n">
        <v>46146</v>
      </c>
      <c r="K100" t="inlineStr">
        <is>
          <t>Kak Yudi</t>
        </is>
      </c>
      <c r="L100" t="inlineStr">
        <is>
          <t>SPORT-Hitam-M</t>
        </is>
      </c>
      <c r="M100" t="n">
        <v>2</v>
      </c>
      <c r="N100" t="n">
        <v>7500</v>
      </c>
      <c r="O100">
        <f>M100*N100</f>
        <v/>
      </c>
      <c r="P100" t="n">
        <v>15000</v>
      </c>
    </row>
    <row r="101">
      <c r="A101" t="inlineStr">
        <is>
          <t>2026-04-27</t>
        </is>
      </c>
      <c r="B101" t="inlineStr">
        <is>
          <t>Kak Yudi</t>
        </is>
      </c>
      <c r="C101" t="inlineStr">
        <is>
          <t>SPORT-Hitam-S</t>
        </is>
      </c>
      <c r="D101" t="n">
        <v>3</v>
      </c>
      <c r="E101" t="n">
        <v>5000</v>
      </c>
      <c r="F101">
        <f>D101*E101</f>
        <v/>
      </c>
      <c r="G101" t="n">
        <v>15000</v>
      </c>
      <c r="J101" s="30" t="n">
        <v>46146</v>
      </c>
      <c r="K101" t="inlineStr">
        <is>
          <t>Kak Yudi</t>
        </is>
      </c>
      <c r="L101" t="inlineStr">
        <is>
          <t>SPORT-Hitam-S</t>
        </is>
      </c>
      <c r="M101" t="n">
        <v>3</v>
      </c>
      <c r="N101" t="n">
        <v>5000</v>
      </c>
      <c r="O101">
        <f>M101*N101</f>
        <v/>
      </c>
      <c r="P101" t="n">
        <v>15000</v>
      </c>
    </row>
    <row r="102">
      <c r="A102" t="inlineStr">
        <is>
          <t>2026-04-27</t>
        </is>
      </c>
      <c r="B102" t="inlineStr">
        <is>
          <t>Kak Yudi</t>
        </is>
      </c>
      <c r="C102" t="inlineStr">
        <is>
          <t>SPORT-Putih-S</t>
        </is>
      </c>
      <c r="D102" t="n">
        <v>2</v>
      </c>
      <c r="E102" t="n">
        <v>5000</v>
      </c>
      <c r="F102">
        <f>D102*E102</f>
        <v/>
      </c>
      <c r="G102" t="n">
        <v>10000</v>
      </c>
      <c r="J102" s="30" t="n">
        <v>46146</v>
      </c>
      <c r="K102" t="inlineStr">
        <is>
          <t>Kak Yudi</t>
        </is>
      </c>
      <c r="L102" t="inlineStr">
        <is>
          <t>SPORT-Putih-S</t>
        </is>
      </c>
      <c r="M102" t="n">
        <v>2</v>
      </c>
      <c r="N102" t="n">
        <v>5000</v>
      </c>
      <c r="O102">
        <f>M102*N102</f>
        <v/>
      </c>
      <c r="P102" t="n">
        <v>10000</v>
      </c>
    </row>
    <row r="103">
      <c r="A103" t="inlineStr">
        <is>
          <t>2026-04-29</t>
        </is>
      </c>
      <c r="B103" t="inlineStr">
        <is>
          <t>Kak Yudi</t>
        </is>
      </c>
      <c r="C103" t="inlineStr">
        <is>
          <t>SPORT-Cokelat Tua-L</t>
        </is>
      </c>
      <c r="D103" t="n">
        <v>1</v>
      </c>
      <c r="E103" t="n">
        <v>9500</v>
      </c>
      <c r="F103">
        <f>D103*E103</f>
        <v/>
      </c>
      <c r="G103" t="n">
        <v>9500</v>
      </c>
      <c r="J103" s="30" t="n">
        <v>46146</v>
      </c>
      <c r="K103" t="inlineStr">
        <is>
          <t>Kak Yudi</t>
        </is>
      </c>
      <c r="L103" t="inlineStr">
        <is>
          <t>SPORT-Cokelat Tua-L</t>
        </is>
      </c>
      <c r="M103" t="n">
        <v>1</v>
      </c>
      <c r="N103" t="n">
        <v>9500</v>
      </c>
      <c r="O103">
        <f>M103*N103</f>
        <v/>
      </c>
      <c r="P103" t="n">
        <v>9500</v>
      </c>
    </row>
    <row r="104">
      <c r="A104" t="inlineStr">
        <is>
          <t>2026-04-29</t>
        </is>
      </c>
      <c r="B104" t="inlineStr">
        <is>
          <t>Kak Yudi</t>
        </is>
      </c>
      <c r="C104" t="inlineStr">
        <is>
          <t>SPORT-Hitam-L</t>
        </is>
      </c>
      <c r="D104" t="n">
        <v>1</v>
      </c>
      <c r="E104" t="n">
        <v>9500</v>
      </c>
      <c r="F104">
        <f>D104*E104</f>
        <v/>
      </c>
      <c r="G104" t="n">
        <v>9500</v>
      </c>
      <c r="J104" s="30" t="n">
        <v>46146</v>
      </c>
      <c r="K104" t="inlineStr">
        <is>
          <t>Kak Yudi</t>
        </is>
      </c>
      <c r="L104" t="inlineStr">
        <is>
          <t>SPORT-Hitam-L</t>
        </is>
      </c>
      <c r="M104" t="n">
        <v>1</v>
      </c>
      <c r="N104" t="n">
        <v>9500</v>
      </c>
      <c r="O104">
        <f>M104*N104</f>
        <v/>
      </c>
      <c r="P104" t="n">
        <v>9500</v>
      </c>
    </row>
    <row r="105">
      <c r="A105" t="inlineStr">
        <is>
          <t>2026-04-29</t>
        </is>
      </c>
      <c r="B105" t="inlineStr">
        <is>
          <t>Kak Yudi</t>
        </is>
      </c>
      <c r="C105" t="inlineStr">
        <is>
          <t>SPORT-Denim-L</t>
        </is>
      </c>
      <c r="D105" t="n">
        <v>1</v>
      </c>
      <c r="E105" t="n">
        <v>9500</v>
      </c>
      <c r="F105">
        <f>D105*E105</f>
        <v/>
      </c>
      <c r="G105" t="n">
        <v>9500</v>
      </c>
      <c r="J105" s="30" t="n">
        <v>46146</v>
      </c>
      <c r="K105" t="inlineStr">
        <is>
          <t>Kak Yudi</t>
        </is>
      </c>
      <c r="L105" t="inlineStr">
        <is>
          <t>SPORT-Denim-L</t>
        </is>
      </c>
      <c r="M105" t="n">
        <v>1</v>
      </c>
      <c r="N105" t="n">
        <v>9500</v>
      </c>
      <c r="O105">
        <f>M105*N105</f>
        <v/>
      </c>
      <c r="P105" t="n">
        <v>9500</v>
      </c>
    </row>
    <row r="106">
      <c r="A106" t="inlineStr">
        <is>
          <t>2026-04-29</t>
        </is>
      </c>
      <c r="B106" t="inlineStr">
        <is>
          <t>Kak Yudi</t>
        </is>
      </c>
      <c r="C106" t="inlineStr">
        <is>
          <t>SPORT-Hazelnut-L</t>
        </is>
      </c>
      <c r="D106" t="n">
        <v>1</v>
      </c>
      <c r="E106" t="n">
        <v>9500</v>
      </c>
      <c r="F106">
        <f>D106*E106</f>
        <v/>
      </c>
      <c r="G106" t="n">
        <v>9500</v>
      </c>
      <c r="J106" s="30" t="n">
        <v>46146</v>
      </c>
      <c r="K106" t="inlineStr">
        <is>
          <t>Kak Yudi</t>
        </is>
      </c>
      <c r="L106" t="inlineStr">
        <is>
          <t>SPORT-Hazelnut-L</t>
        </is>
      </c>
      <c r="M106" t="n">
        <v>1</v>
      </c>
      <c r="N106" t="n">
        <v>9500</v>
      </c>
      <c r="O106">
        <f>M106*N106</f>
        <v/>
      </c>
      <c r="P106" t="n">
        <v>9500</v>
      </c>
    </row>
    <row r="107">
      <c r="A107" t="inlineStr">
        <is>
          <t>2026-04-29</t>
        </is>
      </c>
      <c r="B107" t="inlineStr">
        <is>
          <t>Kak Yudi</t>
        </is>
      </c>
      <c r="C107" t="inlineStr">
        <is>
          <t>SPORT-Smoke-L</t>
        </is>
      </c>
      <c r="D107" t="n">
        <v>1</v>
      </c>
      <c r="E107" t="n">
        <v>9500</v>
      </c>
      <c r="F107">
        <f>D107*E107</f>
        <v/>
      </c>
      <c r="G107" t="n">
        <v>9500</v>
      </c>
      <c r="J107" s="30" t="n">
        <v>46146</v>
      </c>
      <c r="K107" t="inlineStr">
        <is>
          <t>Kak Yudi</t>
        </is>
      </c>
      <c r="L107" t="inlineStr">
        <is>
          <t>SPORT-Smoke-L</t>
        </is>
      </c>
      <c r="M107" t="n">
        <v>1</v>
      </c>
      <c r="N107" t="n">
        <v>9500</v>
      </c>
      <c r="O107">
        <f>M107*N107</f>
        <v/>
      </c>
      <c r="P107" t="n">
        <v>9500</v>
      </c>
    </row>
    <row r="108">
      <c r="A108" t="inlineStr">
        <is>
          <t>2026-04-29</t>
        </is>
      </c>
      <c r="B108" t="inlineStr">
        <is>
          <t>Kak Yudi</t>
        </is>
      </c>
      <c r="C108" t="inlineStr">
        <is>
          <t>SPORT-Cokelat Tua-M</t>
        </is>
      </c>
      <c r="D108" t="n">
        <v>1</v>
      </c>
      <c r="E108" t="n">
        <v>7500</v>
      </c>
      <c r="F108">
        <f>D108*E108</f>
        <v/>
      </c>
      <c r="G108" t="n">
        <v>7500</v>
      </c>
      <c r="J108" s="30" t="n">
        <v>46146</v>
      </c>
      <c r="K108" t="inlineStr">
        <is>
          <t>Kak Yudi</t>
        </is>
      </c>
      <c r="L108" t="inlineStr">
        <is>
          <t>SPORT-Cokelat Tua-M</t>
        </is>
      </c>
      <c r="M108" t="n">
        <v>1</v>
      </c>
      <c r="N108" t="n">
        <v>7500</v>
      </c>
      <c r="O108">
        <f>M108*N108</f>
        <v/>
      </c>
      <c r="P108" t="n">
        <v>7500</v>
      </c>
    </row>
    <row r="109">
      <c r="A109" t="inlineStr">
        <is>
          <t>2026-04-29</t>
        </is>
      </c>
      <c r="B109" t="inlineStr">
        <is>
          <t>Kak Yudi</t>
        </is>
      </c>
      <c r="C109" t="inlineStr">
        <is>
          <t>SPORT-Denim-M</t>
        </is>
      </c>
      <c r="D109" t="n">
        <v>1</v>
      </c>
      <c r="E109" t="n">
        <v>7500</v>
      </c>
      <c r="F109">
        <f>D109*E109</f>
        <v/>
      </c>
      <c r="G109" t="n">
        <v>7500</v>
      </c>
      <c r="J109" s="30" t="n">
        <v>46146</v>
      </c>
      <c r="K109" t="inlineStr">
        <is>
          <t>Kak Yudi</t>
        </is>
      </c>
      <c r="L109" t="inlineStr">
        <is>
          <t>SPORT-Denim-M</t>
        </is>
      </c>
      <c r="M109" t="n">
        <v>1</v>
      </c>
      <c r="N109" t="n">
        <v>7500</v>
      </c>
      <c r="O109">
        <f>M109*N109</f>
        <v/>
      </c>
      <c r="P109" t="n">
        <v>7500</v>
      </c>
    </row>
    <row r="110">
      <c r="A110" t="inlineStr">
        <is>
          <t>2026-04-29</t>
        </is>
      </c>
      <c r="B110" t="inlineStr">
        <is>
          <t>Kak Yudi</t>
        </is>
      </c>
      <c r="C110" t="inlineStr">
        <is>
          <t>SPORT-Hitam-M</t>
        </is>
      </c>
      <c r="D110" t="n">
        <v>12</v>
      </c>
      <c r="E110" t="n">
        <v>7500</v>
      </c>
      <c r="F110">
        <f>D110*E110</f>
        <v/>
      </c>
      <c r="G110" t="n">
        <v>90000</v>
      </c>
      <c r="J110" s="30" t="n">
        <v>46146</v>
      </c>
      <c r="K110" t="inlineStr">
        <is>
          <t>Kak Yudi</t>
        </is>
      </c>
      <c r="L110" t="inlineStr">
        <is>
          <t>SPORT-Hitam-M</t>
        </is>
      </c>
      <c r="M110" t="n">
        <v>12</v>
      </c>
      <c r="N110" t="n">
        <v>7500</v>
      </c>
      <c r="O110">
        <f>M110*N110</f>
        <v/>
      </c>
      <c r="P110" t="n">
        <v>90000</v>
      </c>
    </row>
    <row r="111">
      <c r="A111" t="inlineStr">
        <is>
          <t>2026-04-29</t>
        </is>
      </c>
      <c r="B111" t="inlineStr">
        <is>
          <t>Kak Yudi</t>
        </is>
      </c>
      <c r="C111" t="inlineStr">
        <is>
          <t>SPORT-Hazelnut-M</t>
        </is>
      </c>
      <c r="D111" t="n">
        <v>1</v>
      </c>
      <c r="E111" t="n">
        <v>7500</v>
      </c>
      <c r="F111">
        <f>D111*E111</f>
        <v/>
      </c>
      <c r="G111" t="n">
        <v>7500</v>
      </c>
      <c r="J111" s="30" t="n">
        <v>46146</v>
      </c>
      <c r="K111" t="inlineStr">
        <is>
          <t>Kak Yudi</t>
        </is>
      </c>
      <c r="L111" t="inlineStr">
        <is>
          <t>SPORT-Hazelnut-M</t>
        </is>
      </c>
      <c r="M111" t="n">
        <v>1</v>
      </c>
      <c r="N111" t="n">
        <v>7500</v>
      </c>
      <c r="O111">
        <f>M111*N111</f>
        <v/>
      </c>
      <c r="P111" t="n">
        <v>7500</v>
      </c>
    </row>
    <row r="112">
      <c r="A112" t="inlineStr">
        <is>
          <t>2026-04-29</t>
        </is>
      </c>
      <c r="B112" t="inlineStr">
        <is>
          <t>Kak Yudi</t>
        </is>
      </c>
      <c r="C112" t="inlineStr">
        <is>
          <t>SPORT-Smoke-M</t>
        </is>
      </c>
      <c r="D112" t="n">
        <v>2</v>
      </c>
      <c r="E112" t="n">
        <v>7500</v>
      </c>
      <c r="F112">
        <f>D112*E112</f>
        <v/>
      </c>
      <c r="G112" t="n">
        <v>15000</v>
      </c>
      <c r="J112" s="30" t="n">
        <v>46146</v>
      </c>
      <c r="K112" t="inlineStr">
        <is>
          <t>Kak Yudi</t>
        </is>
      </c>
      <c r="L112" t="inlineStr">
        <is>
          <t>SPORT-Smoke-M</t>
        </is>
      </c>
      <c r="M112" t="n">
        <v>2</v>
      </c>
      <c r="N112" t="n">
        <v>7500</v>
      </c>
      <c r="O112">
        <f>M112*N112</f>
        <v/>
      </c>
      <c r="P112" t="n">
        <v>15000</v>
      </c>
    </row>
    <row r="113">
      <c r="A113" t="inlineStr">
        <is>
          <t>2026-04-29</t>
        </is>
      </c>
      <c r="B113" t="inlineStr">
        <is>
          <t>Kak Yudi</t>
        </is>
      </c>
      <c r="C113" t="inlineStr">
        <is>
          <t>SPORT-Hitam-S</t>
        </is>
      </c>
      <c r="D113" t="n">
        <v>11</v>
      </c>
      <c r="E113" t="n">
        <v>5000</v>
      </c>
      <c r="F113">
        <f>D113*E113</f>
        <v/>
      </c>
      <c r="G113" t="n">
        <v>55000</v>
      </c>
      <c r="J113" s="30" t="n">
        <v>46146</v>
      </c>
      <c r="K113" t="inlineStr">
        <is>
          <t>Kak Yudi</t>
        </is>
      </c>
      <c r="L113" t="inlineStr">
        <is>
          <t>SPORT-Hitam-S</t>
        </is>
      </c>
      <c r="M113" t="n">
        <v>11</v>
      </c>
      <c r="N113" t="n">
        <v>5000</v>
      </c>
      <c r="O113">
        <f>M113*N113</f>
        <v/>
      </c>
      <c r="P113" t="n">
        <v>55000</v>
      </c>
    </row>
    <row r="114">
      <c r="A114" t="inlineStr">
        <is>
          <t>2026-04-29</t>
        </is>
      </c>
      <c r="B114" t="inlineStr">
        <is>
          <t>Kak Yudi</t>
        </is>
      </c>
      <c r="C114" t="inlineStr">
        <is>
          <t>SPORT-Jotol-S</t>
        </is>
      </c>
      <c r="D114" t="n">
        <v>1</v>
      </c>
      <c r="E114" t="n">
        <v>5000</v>
      </c>
      <c r="F114">
        <f>D114*E114</f>
        <v/>
      </c>
      <c r="G114" t="n">
        <v>5000</v>
      </c>
      <c r="J114" s="30" t="n">
        <v>46146</v>
      </c>
      <c r="K114" t="inlineStr">
        <is>
          <t>Kak Yudi</t>
        </is>
      </c>
      <c r="L114" t="inlineStr">
        <is>
          <t>SPORT-Jotol-S</t>
        </is>
      </c>
      <c r="M114" t="n">
        <v>1</v>
      </c>
      <c r="N114" t="n">
        <v>5000</v>
      </c>
      <c r="O114">
        <f>M114*N114</f>
        <v/>
      </c>
      <c r="P114" t="n">
        <v>5000</v>
      </c>
    </row>
    <row r="115">
      <c r="A115" t="inlineStr">
        <is>
          <t>2026-04-29</t>
        </is>
      </c>
      <c r="B115" t="inlineStr">
        <is>
          <t>Kak Yudi</t>
        </is>
      </c>
      <c r="C115" t="inlineStr">
        <is>
          <t>SPORT-Hitam-S</t>
        </is>
      </c>
      <c r="D115" t="n">
        <v>3</v>
      </c>
      <c r="E115" t="n">
        <v>5000</v>
      </c>
      <c r="F115">
        <f>D115*E115</f>
        <v/>
      </c>
      <c r="G115" t="n">
        <v>15000</v>
      </c>
      <c r="J115" s="30" t="n">
        <v>46146</v>
      </c>
      <c r="K115" t="inlineStr">
        <is>
          <t>Kak Yudi</t>
        </is>
      </c>
      <c r="L115" t="inlineStr">
        <is>
          <t>SPORT-Hitam-S</t>
        </is>
      </c>
      <c r="M115" t="n">
        <v>3</v>
      </c>
      <c r="N115" t="n">
        <v>5000</v>
      </c>
      <c r="O115">
        <f>M115*N115</f>
        <v/>
      </c>
      <c r="P115" t="n">
        <v>15000</v>
      </c>
    </row>
    <row r="116">
      <c r="A116" t="inlineStr">
        <is>
          <t>2026-04-29</t>
        </is>
      </c>
      <c r="B116" t="inlineStr">
        <is>
          <t>Kak Yudi</t>
        </is>
      </c>
      <c r="C116" t="inlineStr">
        <is>
          <t>SPORT-Dusty Pink-S</t>
        </is>
      </c>
      <c r="D116" t="n">
        <v>1</v>
      </c>
      <c r="E116" t="n">
        <v>5000</v>
      </c>
      <c r="F116">
        <f>D116*E116</f>
        <v/>
      </c>
      <c r="G116" t="n">
        <v>5000</v>
      </c>
      <c r="J116" s="30" t="n">
        <v>46146</v>
      </c>
      <c r="K116" t="inlineStr">
        <is>
          <t>Kak Yudi</t>
        </is>
      </c>
      <c r="L116" t="inlineStr">
        <is>
          <t>SPORT-Dusty Pink-S</t>
        </is>
      </c>
      <c r="M116" t="n">
        <v>1</v>
      </c>
      <c r="N116" t="n">
        <v>5000</v>
      </c>
      <c r="O116">
        <f>M116*N116</f>
        <v/>
      </c>
      <c r="P116" t="n">
        <v>5000</v>
      </c>
    </row>
    <row r="117">
      <c r="A117" t="inlineStr">
        <is>
          <t>2026-04-29</t>
        </is>
      </c>
      <c r="B117" t="inlineStr">
        <is>
          <t>Kak Yudi</t>
        </is>
      </c>
      <c r="C117" t="inlineStr">
        <is>
          <t>SPORT-Grey-M</t>
        </is>
      </c>
      <c r="D117" t="n">
        <v>2</v>
      </c>
      <c r="E117" t="n">
        <v>7500</v>
      </c>
      <c r="F117">
        <f>D117*E117</f>
        <v/>
      </c>
      <c r="G117" t="n">
        <v>15000</v>
      </c>
      <c r="J117" s="30" t="n">
        <v>46146</v>
      </c>
      <c r="K117" t="inlineStr">
        <is>
          <t>Kak Yudi</t>
        </is>
      </c>
      <c r="L117" t="inlineStr">
        <is>
          <t>SPORT-Grey-M</t>
        </is>
      </c>
      <c r="M117" t="n">
        <v>2</v>
      </c>
      <c r="N117" t="n">
        <v>7500</v>
      </c>
      <c r="O117">
        <f>M117*N117</f>
        <v/>
      </c>
      <c r="P117" t="n">
        <v>15000</v>
      </c>
    </row>
    <row r="118">
      <c r="A118" t="inlineStr">
        <is>
          <t>2026-04-29</t>
        </is>
      </c>
      <c r="B118" t="inlineStr">
        <is>
          <t>Kak Yudi</t>
        </is>
      </c>
      <c r="C118" t="inlineStr">
        <is>
          <t>SPORT-Dusty Pink-L</t>
        </is>
      </c>
      <c r="D118" t="n">
        <v>1</v>
      </c>
      <c r="E118" t="n">
        <v>9500</v>
      </c>
      <c r="F118">
        <f>D118*E118</f>
        <v/>
      </c>
      <c r="G118" t="n">
        <v>9500</v>
      </c>
      <c r="J118" s="30" t="n">
        <v>46146</v>
      </c>
      <c r="K118" t="inlineStr">
        <is>
          <t>Kak Yudi</t>
        </is>
      </c>
      <c r="L118" t="inlineStr">
        <is>
          <t>SPORT-Dusty Pink-L</t>
        </is>
      </c>
      <c r="M118" t="n">
        <v>1</v>
      </c>
      <c r="N118" t="n">
        <v>9500</v>
      </c>
      <c r="O118">
        <f>M118*N118</f>
        <v/>
      </c>
      <c r="P118" t="n">
        <v>9500</v>
      </c>
    </row>
    <row r="119">
      <c r="A119" t="inlineStr">
        <is>
          <t>2026-04-29</t>
        </is>
      </c>
      <c r="B119" t="inlineStr">
        <is>
          <t>Kak Yudi</t>
        </is>
      </c>
      <c r="C119" t="inlineStr">
        <is>
          <t>SPORT-Navy-L</t>
        </is>
      </c>
      <c r="D119" t="n">
        <v>2</v>
      </c>
      <c r="E119" t="n">
        <v>9500</v>
      </c>
      <c r="F119">
        <f>D119*E119</f>
        <v/>
      </c>
      <c r="G119" t="n">
        <v>19000</v>
      </c>
      <c r="J119" s="30" t="n">
        <v>46146</v>
      </c>
      <c r="K119" t="inlineStr">
        <is>
          <t>Kak Yudi</t>
        </is>
      </c>
      <c r="L119" t="inlineStr">
        <is>
          <t>SPORT-Navy-L</t>
        </is>
      </c>
      <c r="M119" t="n">
        <v>2</v>
      </c>
      <c r="N119" t="n">
        <v>9500</v>
      </c>
      <c r="O119">
        <f>M119*N119</f>
        <v/>
      </c>
      <c r="P119" t="n">
        <v>19000</v>
      </c>
    </row>
    <row r="120">
      <c r="A120" t="inlineStr">
        <is>
          <t>2026-04-29</t>
        </is>
      </c>
      <c r="B120" t="inlineStr">
        <is>
          <t>Kak Yudi</t>
        </is>
      </c>
      <c r="C120" t="inlineStr">
        <is>
          <t>DG-Beige</t>
        </is>
      </c>
      <c r="D120" t="n">
        <v>4</v>
      </c>
      <c r="E120" t="n">
        <v>9000</v>
      </c>
      <c r="F120">
        <f>D120*E120</f>
        <v/>
      </c>
      <c r="G120" t="n">
        <v>36000</v>
      </c>
      <c r="J120" s="30" t="n">
        <v>46146</v>
      </c>
      <c r="K120" t="inlineStr">
        <is>
          <t>Kak Yudi</t>
        </is>
      </c>
      <c r="L120" t="inlineStr">
        <is>
          <t>DG-Beige</t>
        </is>
      </c>
      <c r="M120" t="n">
        <v>4</v>
      </c>
      <c r="N120" t="n">
        <v>9000</v>
      </c>
      <c r="O120">
        <f>M120*N120</f>
        <v/>
      </c>
      <c r="P120" t="n">
        <v>36000</v>
      </c>
    </row>
    <row r="121">
      <c r="A121" t="inlineStr">
        <is>
          <t>2026-04-29</t>
        </is>
      </c>
      <c r="B121" t="inlineStr">
        <is>
          <t>Kak Yudi</t>
        </is>
      </c>
      <c r="C121" t="inlineStr">
        <is>
          <t>DG-Caramel-L</t>
        </is>
      </c>
      <c r="D121" t="n">
        <v>1</v>
      </c>
      <c r="E121" t="n">
        <v>10500</v>
      </c>
      <c r="F121">
        <f>D121*E121</f>
        <v/>
      </c>
      <c r="G121" t="n">
        <v>10500</v>
      </c>
      <c r="J121" s="30" t="n">
        <v>46146</v>
      </c>
      <c r="K121" t="inlineStr">
        <is>
          <t>Kak Yudi</t>
        </is>
      </c>
      <c r="L121" t="inlineStr">
        <is>
          <t>DG-Caramel-L</t>
        </is>
      </c>
      <c r="M121" t="n">
        <v>1</v>
      </c>
      <c r="N121" t="n">
        <v>10500</v>
      </c>
      <c r="O121">
        <f>M121*N121</f>
        <v/>
      </c>
      <c r="P121" t="n">
        <v>10500</v>
      </c>
    </row>
    <row r="122">
      <c r="A122" t="inlineStr">
        <is>
          <t>2026-04-30</t>
        </is>
      </c>
      <c r="B122" t="inlineStr">
        <is>
          <t>Kak Yudi</t>
        </is>
      </c>
      <c r="C122" t="inlineStr">
        <is>
          <t>SPORT-Dusty Pink-L</t>
        </is>
      </c>
      <c r="D122" t="n">
        <v>1</v>
      </c>
      <c r="E122" t="n">
        <v>9500</v>
      </c>
      <c r="F122">
        <f>D122*E122</f>
        <v/>
      </c>
      <c r="G122" t="n">
        <v>9500</v>
      </c>
      <c r="J122" s="30" t="n">
        <v>46146</v>
      </c>
      <c r="K122" t="inlineStr">
        <is>
          <t>Kak Yudi</t>
        </is>
      </c>
      <c r="L122" t="inlineStr">
        <is>
          <t>SPORT-Dusty Pink-L</t>
        </is>
      </c>
      <c r="M122" t="n">
        <v>1</v>
      </c>
      <c r="N122" t="n">
        <v>9500</v>
      </c>
      <c r="O122">
        <f>M122*N122</f>
        <v/>
      </c>
      <c r="P122" t="n">
        <v>9500</v>
      </c>
    </row>
    <row r="123">
      <c r="A123" t="inlineStr">
        <is>
          <t>2026-04-30</t>
        </is>
      </c>
      <c r="B123" t="inlineStr">
        <is>
          <t>Kak Yudi</t>
        </is>
      </c>
      <c r="C123" t="inlineStr">
        <is>
          <t>SPORT-Lime-L</t>
        </is>
      </c>
      <c r="D123" t="n">
        <v>1</v>
      </c>
      <c r="E123" t="n">
        <v>9500</v>
      </c>
      <c r="F123">
        <f>D123*E123</f>
        <v/>
      </c>
      <c r="G123" t="n">
        <v>9500</v>
      </c>
      <c r="J123" s="30" t="n">
        <v>46146</v>
      </c>
      <c r="K123" t="inlineStr">
        <is>
          <t>Kak Yudi</t>
        </is>
      </c>
      <c r="L123" t="inlineStr">
        <is>
          <t>SPORT-Lime-L</t>
        </is>
      </c>
      <c r="M123" t="n">
        <v>1</v>
      </c>
      <c r="N123" t="n">
        <v>9500</v>
      </c>
      <c r="O123">
        <f>M123*N123</f>
        <v/>
      </c>
      <c r="P123" t="n">
        <v>9500</v>
      </c>
    </row>
    <row r="124">
      <c r="A124" t="inlineStr">
        <is>
          <t>2026-04-30</t>
        </is>
      </c>
      <c r="B124" t="inlineStr">
        <is>
          <t>Kak Yudi</t>
        </is>
      </c>
      <c r="C124" t="inlineStr">
        <is>
          <t>SPORT-Hitam-L</t>
        </is>
      </c>
      <c r="D124" t="n">
        <v>1</v>
      </c>
      <c r="E124" t="n">
        <v>9500</v>
      </c>
      <c r="F124">
        <f>D124*E124</f>
        <v/>
      </c>
      <c r="G124" t="n">
        <v>9500</v>
      </c>
      <c r="J124" s="30" t="n">
        <v>46146</v>
      </c>
      <c r="K124" t="inlineStr">
        <is>
          <t>Kak Yudi</t>
        </is>
      </c>
      <c r="L124" t="inlineStr">
        <is>
          <t>SPORT-Hitam-L</t>
        </is>
      </c>
      <c r="M124" t="n">
        <v>1</v>
      </c>
      <c r="N124" t="n">
        <v>9500</v>
      </c>
      <c r="O124">
        <f>M124*N124</f>
        <v/>
      </c>
      <c r="P124" t="n">
        <v>9500</v>
      </c>
    </row>
    <row r="125">
      <c r="A125" t="inlineStr">
        <is>
          <t>2026-04-30</t>
        </is>
      </c>
      <c r="B125" t="inlineStr">
        <is>
          <t>Kak Yudi</t>
        </is>
      </c>
      <c r="C125" t="inlineStr">
        <is>
          <t>SPORT-Navy-L</t>
        </is>
      </c>
      <c r="D125" t="n">
        <v>1</v>
      </c>
      <c r="E125" t="n">
        <v>9500</v>
      </c>
      <c r="F125">
        <f>D125*E125</f>
        <v/>
      </c>
      <c r="G125" t="n">
        <v>9500</v>
      </c>
      <c r="J125" s="30" t="n">
        <v>46146</v>
      </c>
      <c r="K125" t="inlineStr">
        <is>
          <t>Kak Yudi</t>
        </is>
      </c>
      <c r="L125" t="inlineStr">
        <is>
          <t>SPORT-Navy-L</t>
        </is>
      </c>
      <c r="M125" t="n">
        <v>1</v>
      </c>
      <c r="N125" t="n">
        <v>9500</v>
      </c>
      <c r="O125">
        <f>M125*N125</f>
        <v/>
      </c>
      <c r="P125" t="n">
        <v>9500</v>
      </c>
    </row>
    <row r="126">
      <c r="A126" t="inlineStr">
        <is>
          <t>2026-04-30</t>
        </is>
      </c>
      <c r="B126" t="inlineStr">
        <is>
          <t>Kak Yudi</t>
        </is>
      </c>
      <c r="C126" t="inlineStr">
        <is>
          <t>DG-Putih-L</t>
        </is>
      </c>
      <c r="D126" t="n">
        <v>1</v>
      </c>
      <c r="E126" t="n">
        <v>10500</v>
      </c>
      <c r="F126">
        <f>D126*E126</f>
        <v/>
      </c>
      <c r="G126" t="n">
        <v>10500</v>
      </c>
      <c r="J126" s="30" t="n">
        <v>46146</v>
      </c>
      <c r="K126" t="inlineStr">
        <is>
          <t>Kak Yudi</t>
        </is>
      </c>
      <c r="L126" t="inlineStr">
        <is>
          <t>DG-Putih-L</t>
        </is>
      </c>
      <c r="M126" t="n">
        <v>1</v>
      </c>
      <c r="N126" t="n">
        <v>10500</v>
      </c>
      <c r="O126">
        <f>M126*N126</f>
        <v/>
      </c>
      <c r="P126" t="n">
        <v>10500</v>
      </c>
    </row>
    <row r="127">
      <c r="A127" t="inlineStr">
        <is>
          <t>2026-04-30</t>
        </is>
      </c>
      <c r="B127" t="inlineStr">
        <is>
          <t>Kak Yudi</t>
        </is>
      </c>
      <c r="C127" t="inlineStr">
        <is>
          <t>DG-Putih-L</t>
        </is>
      </c>
      <c r="D127" t="n">
        <v>1</v>
      </c>
      <c r="E127" t="n">
        <v>10500</v>
      </c>
      <c r="F127">
        <f>D127*E127</f>
        <v/>
      </c>
      <c r="G127" t="n">
        <v>10500</v>
      </c>
      <c r="J127" s="30" t="n">
        <v>46146</v>
      </c>
      <c r="K127" t="inlineStr">
        <is>
          <t>Kak Yudi</t>
        </is>
      </c>
      <c r="L127" t="inlineStr">
        <is>
          <t>DG-Putih-L</t>
        </is>
      </c>
      <c r="M127" t="n">
        <v>1</v>
      </c>
      <c r="N127" t="n">
        <v>10500</v>
      </c>
      <c r="O127">
        <f>M127*N127</f>
        <v/>
      </c>
      <c r="P127" t="n">
        <v>10500</v>
      </c>
    </row>
    <row r="128">
      <c r="A128" t="inlineStr">
        <is>
          <t>2026-04-30</t>
        </is>
      </c>
      <c r="B128" t="inlineStr">
        <is>
          <t>Kak Yudi</t>
        </is>
      </c>
      <c r="C128" t="inlineStr">
        <is>
          <t>SPORT-Mustard-L</t>
        </is>
      </c>
      <c r="D128" t="n">
        <v>1</v>
      </c>
      <c r="E128" t="n">
        <v>9500</v>
      </c>
      <c r="F128">
        <f>D128*E128</f>
        <v/>
      </c>
      <c r="G128" t="n">
        <v>9500</v>
      </c>
      <c r="J128" s="30" t="n">
        <v>46146</v>
      </c>
      <c r="K128" t="inlineStr">
        <is>
          <t>Kak Yudi</t>
        </is>
      </c>
      <c r="L128" t="inlineStr">
        <is>
          <t>SPORT-Mustard-L</t>
        </is>
      </c>
      <c r="M128" t="n">
        <v>1</v>
      </c>
      <c r="N128" t="n">
        <v>9500</v>
      </c>
      <c r="O128">
        <f>M128*N128</f>
        <v/>
      </c>
      <c r="P128" t="n">
        <v>9500</v>
      </c>
    </row>
    <row r="129">
      <c r="A129" t="inlineStr">
        <is>
          <t>2026-04-30</t>
        </is>
      </c>
      <c r="B129" t="inlineStr">
        <is>
          <t>Kak Yudi</t>
        </is>
      </c>
      <c r="C129" t="inlineStr">
        <is>
          <t>SPORT-Hitam-L</t>
        </is>
      </c>
      <c r="D129" t="n">
        <v>1</v>
      </c>
      <c r="E129" t="n">
        <v>9500</v>
      </c>
      <c r="F129">
        <f>D129*E129</f>
        <v/>
      </c>
      <c r="G129" t="n">
        <v>9500</v>
      </c>
      <c r="J129" s="30" t="n">
        <v>46146</v>
      </c>
      <c r="K129" t="inlineStr">
        <is>
          <t>Kak Yudi</t>
        </is>
      </c>
      <c r="L129" t="inlineStr">
        <is>
          <t>SPORT-Hitam-L</t>
        </is>
      </c>
      <c r="M129" t="n">
        <v>1</v>
      </c>
      <c r="N129" t="n">
        <v>9500</v>
      </c>
      <c r="O129">
        <f>M129*N129</f>
        <v/>
      </c>
      <c r="P129" t="n">
        <v>9500</v>
      </c>
    </row>
    <row r="130">
      <c r="A130" t="inlineStr">
        <is>
          <t>2026-05-02</t>
        </is>
      </c>
      <c r="B130" t="inlineStr">
        <is>
          <t>Kak Yudi</t>
        </is>
      </c>
      <c r="C130" t="inlineStr">
        <is>
          <t>SPORT-Navy-M</t>
        </is>
      </c>
      <c r="D130" t="n">
        <v>1</v>
      </c>
      <c r="E130" t="n">
        <v>7500</v>
      </c>
      <c r="F130">
        <f>D130*E130</f>
        <v/>
      </c>
      <c r="G130" t="n">
        <v>7500</v>
      </c>
      <c r="J130" s="30" t="n">
        <v>46146</v>
      </c>
      <c r="K130" t="inlineStr">
        <is>
          <t>Kak Yudi</t>
        </is>
      </c>
      <c r="L130" t="inlineStr">
        <is>
          <t>SPORT-Navy-M</t>
        </is>
      </c>
      <c r="M130" t="n">
        <v>1</v>
      </c>
      <c r="N130" t="n">
        <v>7500</v>
      </c>
      <c r="O130">
        <f>M130*N130</f>
        <v/>
      </c>
      <c r="P130" t="n">
        <v>7500</v>
      </c>
    </row>
    <row r="131">
      <c r="A131" t="inlineStr">
        <is>
          <t>2026-05-02</t>
        </is>
      </c>
      <c r="B131" t="inlineStr">
        <is>
          <t>Kak Yudi</t>
        </is>
      </c>
      <c r="C131" t="inlineStr">
        <is>
          <t>SPORT-Denim-M</t>
        </is>
      </c>
      <c r="D131" t="n">
        <v>1</v>
      </c>
      <c r="E131" t="n">
        <v>7500</v>
      </c>
      <c r="F131">
        <f>D131*E131</f>
        <v/>
      </c>
      <c r="G131" t="n">
        <v>7500</v>
      </c>
      <c r="J131" s="30" t="n">
        <v>46146</v>
      </c>
      <c r="K131" t="inlineStr">
        <is>
          <t>Kak Yudi</t>
        </is>
      </c>
      <c r="L131" t="inlineStr">
        <is>
          <t>SPORT-Denim-M</t>
        </is>
      </c>
      <c r="M131" t="n">
        <v>1</v>
      </c>
      <c r="N131" t="n">
        <v>7500</v>
      </c>
      <c r="O131">
        <f>M131*N131</f>
        <v/>
      </c>
      <c r="P131" t="n">
        <v>7500</v>
      </c>
    </row>
    <row r="132">
      <c r="A132" t="inlineStr">
        <is>
          <t>2026-05-02</t>
        </is>
      </c>
      <c r="B132" t="inlineStr">
        <is>
          <t>Kak Yudi</t>
        </is>
      </c>
      <c r="C132" t="inlineStr">
        <is>
          <t>SPORT-Cream-M</t>
        </is>
      </c>
      <c r="D132" t="n">
        <v>1</v>
      </c>
      <c r="E132" t="n">
        <v>7500</v>
      </c>
      <c r="F132">
        <f>D132*E132</f>
        <v/>
      </c>
      <c r="G132" t="n">
        <v>7500</v>
      </c>
      <c r="J132" s="30" t="n">
        <v>46146</v>
      </c>
      <c r="K132" t="inlineStr">
        <is>
          <t>Kak Yudi</t>
        </is>
      </c>
      <c r="L132" t="inlineStr">
        <is>
          <t>SPORT-Cream-M</t>
        </is>
      </c>
      <c r="M132" t="n">
        <v>1</v>
      </c>
      <c r="N132" t="n">
        <v>7500</v>
      </c>
      <c r="O132">
        <f>M132*N132</f>
        <v/>
      </c>
      <c r="P132" t="n">
        <v>7500</v>
      </c>
    </row>
    <row r="133">
      <c r="A133" t="inlineStr">
        <is>
          <t>2026-05-02</t>
        </is>
      </c>
      <c r="B133" t="inlineStr">
        <is>
          <t>Kak Yudi</t>
        </is>
      </c>
      <c r="C133" t="inlineStr">
        <is>
          <t>SPORT-Dark Grey-M</t>
        </is>
      </c>
      <c r="D133" t="n">
        <v>1</v>
      </c>
      <c r="E133" t="n">
        <v>7500</v>
      </c>
      <c r="F133">
        <f>D133*E133</f>
        <v/>
      </c>
      <c r="G133" t="n">
        <v>7500</v>
      </c>
      <c r="J133" s="30" t="n">
        <v>46146</v>
      </c>
      <c r="K133" t="inlineStr">
        <is>
          <t>Kak Yudi</t>
        </is>
      </c>
      <c r="L133" t="inlineStr">
        <is>
          <t>SPORT-Dark Grey-M</t>
        </is>
      </c>
      <c r="M133" t="n">
        <v>1</v>
      </c>
      <c r="N133" t="n">
        <v>7500</v>
      </c>
      <c r="O133">
        <f>M133*N133</f>
        <v/>
      </c>
      <c r="P133" t="n">
        <v>7500</v>
      </c>
    </row>
    <row r="134">
      <c r="A134" t="inlineStr">
        <is>
          <t>2026-05-02</t>
        </is>
      </c>
      <c r="B134" t="inlineStr">
        <is>
          <t>Kak Yudi</t>
        </is>
      </c>
      <c r="C134" t="inlineStr">
        <is>
          <t>SPORT-Smoke-M</t>
        </is>
      </c>
      <c r="D134" t="n">
        <v>1</v>
      </c>
      <c r="E134" t="n">
        <v>7500</v>
      </c>
      <c r="F134">
        <f>D134*E134</f>
        <v/>
      </c>
      <c r="G134" t="n">
        <v>7500</v>
      </c>
      <c r="J134" s="30" t="n">
        <v>46146</v>
      </c>
      <c r="K134" t="inlineStr">
        <is>
          <t>Kak Yudi</t>
        </is>
      </c>
      <c r="L134" t="inlineStr">
        <is>
          <t>SPORT-Smoke-M</t>
        </is>
      </c>
      <c r="M134" t="n">
        <v>1</v>
      </c>
      <c r="N134" t="n">
        <v>7500</v>
      </c>
      <c r="O134">
        <f>M134*N134</f>
        <v/>
      </c>
      <c r="P134" t="n">
        <v>7500</v>
      </c>
    </row>
    <row r="135">
      <c r="A135" t="inlineStr">
        <is>
          <t>2026-05-02</t>
        </is>
      </c>
      <c r="B135" t="inlineStr">
        <is>
          <t>Kak Yudi</t>
        </is>
      </c>
      <c r="C135" t="inlineStr">
        <is>
          <t>SPORT-Hitam-S</t>
        </is>
      </c>
      <c r="D135" t="n">
        <v>1</v>
      </c>
      <c r="E135" t="n">
        <v>5000</v>
      </c>
      <c r="F135">
        <f>D135*E135</f>
        <v/>
      </c>
      <c r="G135" t="n">
        <v>5000</v>
      </c>
      <c r="J135" s="30" t="n">
        <v>46146</v>
      </c>
      <c r="K135" t="inlineStr">
        <is>
          <t>Kak Yudi</t>
        </is>
      </c>
      <c r="L135" t="inlineStr">
        <is>
          <t>SPORT-Hitam-S</t>
        </is>
      </c>
      <c r="M135" t="n">
        <v>1</v>
      </c>
      <c r="N135" t="n">
        <v>5000</v>
      </c>
      <c r="O135">
        <f>M135*N135</f>
        <v/>
      </c>
      <c r="P135" t="n">
        <v>5000</v>
      </c>
    </row>
    <row r="136">
      <c r="A136" t="inlineStr">
        <is>
          <t>2026-05-02</t>
        </is>
      </c>
      <c r="B136" t="inlineStr">
        <is>
          <t>Kak Yudi</t>
        </is>
      </c>
      <c r="C136" t="inlineStr">
        <is>
          <t>SPORT-Navy-L</t>
        </is>
      </c>
      <c r="D136" t="n">
        <v>1</v>
      </c>
      <c r="E136" t="n">
        <v>9500</v>
      </c>
      <c r="F136">
        <f>D136*E136</f>
        <v/>
      </c>
      <c r="G136" t="n">
        <v>9500</v>
      </c>
      <c r="J136" s="30" t="n">
        <v>46146</v>
      </c>
      <c r="K136" t="inlineStr">
        <is>
          <t>Kak Yudi</t>
        </is>
      </c>
      <c r="L136" t="inlineStr">
        <is>
          <t>SPORT-Navy-L</t>
        </is>
      </c>
      <c r="M136" t="n">
        <v>1</v>
      </c>
      <c r="N136" t="n">
        <v>9500</v>
      </c>
      <c r="O136">
        <f>M136*N136</f>
        <v/>
      </c>
      <c r="P136" t="n">
        <v>9500</v>
      </c>
    </row>
    <row r="137">
      <c r="A137" t="inlineStr">
        <is>
          <t>2026-05-02</t>
        </is>
      </c>
      <c r="B137" t="inlineStr">
        <is>
          <t>Kak Yudi</t>
        </is>
      </c>
      <c r="C137" t="inlineStr">
        <is>
          <t>S3-SMOKE</t>
        </is>
      </c>
      <c r="D137" t="n">
        <v>2</v>
      </c>
      <c r="E137" t="n">
        <v>9500</v>
      </c>
      <c r="F137">
        <f>D137*E137</f>
        <v/>
      </c>
      <c r="G137" t="n">
        <v>19000</v>
      </c>
      <c r="J137" s="30" t="n">
        <v>46146</v>
      </c>
      <c r="K137" t="inlineStr">
        <is>
          <t>Kak Yudi</t>
        </is>
      </c>
      <c r="L137" t="inlineStr">
        <is>
          <t>S3-SMOKE</t>
        </is>
      </c>
      <c r="M137" t="n">
        <v>2</v>
      </c>
      <c r="N137" t="n">
        <v>9500</v>
      </c>
      <c r="O137">
        <f>M137*N137</f>
        <v/>
      </c>
      <c r="P137" t="n">
        <v>19000</v>
      </c>
    </row>
    <row r="138">
      <c r="A138" t="inlineStr">
        <is>
          <t>2026-05-02</t>
        </is>
      </c>
      <c r="B138" t="inlineStr">
        <is>
          <t>Kak Yudi</t>
        </is>
      </c>
      <c r="C138" t="inlineStr">
        <is>
          <t>S3-NAVY</t>
        </is>
      </c>
      <c r="D138" t="n">
        <v>1</v>
      </c>
      <c r="E138" t="n">
        <v>9500</v>
      </c>
      <c r="F138">
        <f>D138*E138</f>
        <v/>
      </c>
      <c r="G138" t="n">
        <v>9500</v>
      </c>
      <c r="J138" s="30" t="n">
        <v>46146</v>
      </c>
      <c r="K138" t="inlineStr">
        <is>
          <t>Kak Yudi</t>
        </is>
      </c>
      <c r="L138" t="inlineStr">
        <is>
          <t>S3-NAVY</t>
        </is>
      </c>
      <c r="M138" t="n">
        <v>1</v>
      </c>
      <c r="N138" t="n">
        <v>9500</v>
      </c>
      <c r="O138">
        <f>M138*N138</f>
        <v/>
      </c>
      <c r="P138" t="n">
        <v>9500</v>
      </c>
    </row>
    <row r="139">
      <c r="A139" t="inlineStr">
        <is>
          <t>2026-05-02</t>
        </is>
      </c>
      <c r="B139" t="inlineStr">
        <is>
          <t>Kak Yudi</t>
        </is>
      </c>
      <c r="C139" t="inlineStr">
        <is>
          <t>S3-MARUN</t>
        </is>
      </c>
      <c r="D139" t="n">
        <v>1</v>
      </c>
      <c r="E139" t="n">
        <v>9500</v>
      </c>
      <c r="F139">
        <f>D139*E139</f>
        <v/>
      </c>
      <c r="G139" t="n">
        <v>9500</v>
      </c>
      <c r="J139" s="30" t="n">
        <v>46146</v>
      </c>
      <c r="K139" t="inlineStr">
        <is>
          <t>Kak Yudi</t>
        </is>
      </c>
      <c r="L139" t="inlineStr">
        <is>
          <t>S3-MARUN</t>
        </is>
      </c>
      <c r="M139" t="n">
        <v>1</v>
      </c>
      <c r="N139" t="n">
        <v>9500</v>
      </c>
      <c r="O139">
        <f>M139*N139</f>
        <v/>
      </c>
      <c r="P139" t="n">
        <v>9500</v>
      </c>
    </row>
    <row r="140">
      <c r="A140" t="inlineStr">
        <is>
          <t>2026-05-02</t>
        </is>
      </c>
      <c r="B140" t="inlineStr">
        <is>
          <t>Kak Yudi</t>
        </is>
      </c>
      <c r="C140" t="inlineStr">
        <is>
          <t>S3-CHOCO</t>
        </is>
      </c>
      <c r="D140" t="n">
        <v>1</v>
      </c>
      <c r="E140" t="n">
        <v>9500</v>
      </c>
      <c r="F140">
        <f>D140*E140</f>
        <v/>
      </c>
      <c r="G140" t="n">
        <v>9500</v>
      </c>
      <c r="J140" s="30" t="n">
        <v>46146</v>
      </c>
      <c r="K140" t="inlineStr">
        <is>
          <t>Kak Yudi</t>
        </is>
      </c>
      <c r="L140" t="inlineStr">
        <is>
          <t>S3-CHOCO</t>
        </is>
      </c>
      <c r="M140" t="n">
        <v>1</v>
      </c>
      <c r="N140" t="n">
        <v>9500</v>
      </c>
      <c r="O140">
        <f>M140*N140</f>
        <v/>
      </c>
      <c r="P140" t="n">
        <v>9500</v>
      </c>
    </row>
    <row r="141">
      <c r="A141" t="inlineStr">
        <is>
          <t>2026-05-04</t>
        </is>
      </c>
      <c r="B141" t="inlineStr">
        <is>
          <t>Kak Yudi</t>
        </is>
      </c>
      <c r="C141" t="inlineStr">
        <is>
          <t>SPORT-Cokelat Tua-M</t>
        </is>
      </c>
      <c r="D141" t="n">
        <v>2</v>
      </c>
      <c r="E141" t="n">
        <v>7500</v>
      </c>
      <c r="F141">
        <f>D141*E141</f>
        <v/>
      </c>
      <c r="G141" t="n">
        <v>15000</v>
      </c>
      <c r="J141" s="30" t="n">
        <v>46149</v>
      </c>
      <c r="K141" t="inlineStr">
        <is>
          <t>Kak Yudi</t>
        </is>
      </c>
      <c r="L141" t="inlineStr">
        <is>
          <t>SPORT-Cokelat Tua-M</t>
        </is>
      </c>
      <c r="M141" t="n">
        <v>2</v>
      </c>
      <c r="N141" t="n">
        <v>7500</v>
      </c>
      <c r="O141">
        <f>M141*N141</f>
        <v/>
      </c>
      <c r="P141" t="n">
        <v>15000</v>
      </c>
    </row>
    <row r="142">
      <c r="A142" t="inlineStr">
        <is>
          <t>2026-05-04</t>
        </is>
      </c>
      <c r="B142" t="inlineStr">
        <is>
          <t>Kak Yudi</t>
        </is>
      </c>
      <c r="C142" t="inlineStr">
        <is>
          <t>SPORT-Hitam-M</t>
        </is>
      </c>
      <c r="D142" t="n">
        <v>4</v>
      </c>
      <c r="E142" t="n">
        <v>7500</v>
      </c>
      <c r="F142">
        <f>D142*E142</f>
        <v/>
      </c>
      <c r="G142" t="n">
        <v>30000</v>
      </c>
      <c r="J142" s="30" t="n">
        <v>46149</v>
      </c>
      <c r="K142" t="inlineStr">
        <is>
          <t>Kak Yudi</t>
        </is>
      </c>
      <c r="L142" t="inlineStr">
        <is>
          <t>SPORT-Hitam-M</t>
        </is>
      </c>
      <c r="M142" t="n">
        <v>4</v>
      </c>
      <c r="N142" t="n">
        <v>7500</v>
      </c>
      <c r="O142">
        <f>M142*N142</f>
        <v/>
      </c>
      <c r="P142" t="n">
        <v>30000</v>
      </c>
    </row>
    <row r="143">
      <c r="A143" t="inlineStr">
        <is>
          <t>2026-05-04</t>
        </is>
      </c>
      <c r="B143" t="inlineStr">
        <is>
          <t>Kak Yudi</t>
        </is>
      </c>
      <c r="C143" t="inlineStr">
        <is>
          <t>SPORT-Denim-L</t>
        </is>
      </c>
      <c r="D143" t="n">
        <v>1</v>
      </c>
      <c r="E143" t="n">
        <v>9500</v>
      </c>
      <c r="F143">
        <f>D143*E143</f>
        <v/>
      </c>
      <c r="G143" t="n">
        <v>9500</v>
      </c>
      <c r="J143" s="30" t="n">
        <v>46149</v>
      </c>
      <c r="K143" t="inlineStr">
        <is>
          <t>Kak Yudi</t>
        </is>
      </c>
      <c r="L143" t="inlineStr">
        <is>
          <t>SPORT-Denim-L</t>
        </is>
      </c>
      <c r="M143" t="n">
        <v>1</v>
      </c>
      <c r="N143" t="n">
        <v>9500</v>
      </c>
      <c r="O143">
        <f>M143*N143</f>
        <v/>
      </c>
      <c r="P143" t="n">
        <v>9500</v>
      </c>
    </row>
    <row r="144">
      <c r="A144" t="inlineStr">
        <is>
          <t>2026-05-04</t>
        </is>
      </c>
      <c r="B144" t="inlineStr">
        <is>
          <t>Kak Yudi</t>
        </is>
      </c>
      <c r="C144" t="inlineStr">
        <is>
          <t>SPORT-Navy-L</t>
        </is>
      </c>
      <c r="D144" t="n">
        <v>1</v>
      </c>
      <c r="E144" t="n">
        <v>9500</v>
      </c>
      <c r="F144">
        <f>D144*E144</f>
        <v/>
      </c>
      <c r="G144" t="n">
        <v>9500</v>
      </c>
      <c r="J144" s="30" t="n">
        <v>46149</v>
      </c>
      <c r="K144" t="inlineStr">
        <is>
          <t>Kak Yudi</t>
        </is>
      </c>
      <c r="L144" t="inlineStr">
        <is>
          <t>SPORT-Navy-L</t>
        </is>
      </c>
      <c r="M144" t="n">
        <v>1</v>
      </c>
      <c r="N144" t="n">
        <v>9500</v>
      </c>
      <c r="O144">
        <f>M144*N144</f>
        <v/>
      </c>
      <c r="P144" t="n">
        <v>9500</v>
      </c>
    </row>
    <row r="145">
      <c r="A145" t="inlineStr">
        <is>
          <t>2026-05-04</t>
        </is>
      </c>
      <c r="B145" t="inlineStr">
        <is>
          <t>Kak Yudi</t>
        </is>
      </c>
      <c r="C145" t="inlineStr">
        <is>
          <t>SPORT-Hitam-L</t>
        </is>
      </c>
      <c r="D145" t="n">
        <v>1</v>
      </c>
      <c r="E145" t="n">
        <v>9500</v>
      </c>
      <c r="F145">
        <f>D145*E145</f>
        <v/>
      </c>
      <c r="G145" t="n">
        <v>9500</v>
      </c>
      <c r="J145" s="30" t="n">
        <v>46149</v>
      </c>
      <c r="K145" t="inlineStr">
        <is>
          <t>Kak Yudi</t>
        </is>
      </c>
      <c r="L145" t="inlineStr">
        <is>
          <t>SPORT-Hitam-L</t>
        </is>
      </c>
      <c r="M145" t="n">
        <v>1</v>
      </c>
      <c r="N145" t="n">
        <v>9500</v>
      </c>
      <c r="O145">
        <f>M145*N145</f>
        <v/>
      </c>
      <c r="P145" t="n">
        <v>9500</v>
      </c>
    </row>
    <row r="146">
      <c r="A146" t="inlineStr">
        <is>
          <t>2026-05-05</t>
        </is>
      </c>
      <c r="B146" t="inlineStr">
        <is>
          <t>Kak Yudi</t>
        </is>
      </c>
      <c r="C146" t="inlineStr">
        <is>
          <t>SPORT-Lime-L</t>
        </is>
      </c>
      <c r="D146" t="n">
        <v>1</v>
      </c>
      <c r="E146" t="n">
        <v>9500</v>
      </c>
      <c r="F146">
        <f>D146*E146</f>
        <v/>
      </c>
      <c r="G146" t="n">
        <v>9500</v>
      </c>
      <c r="J146" s="30" t="n">
        <v>46149</v>
      </c>
      <c r="K146" t="inlineStr">
        <is>
          <t>Kak Yudi</t>
        </is>
      </c>
      <c r="L146" t="inlineStr">
        <is>
          <t>SPORT-Lime-L</t>
        </is>
      </c>
      <c r="M146" t="n">
        <v>1</v>
      </c>
      <c r="N146" t="n">
        <v>9500</v>
      </c>
      <c r="O146">
        <f>M146*N146</f>
        <v/>
      </c>
      <c r="P146" t="n">
        <v>9500</v>
      </c>
    </row>
    <row r="147">
      <c r="A147" t="inlineStr">
        <is>
          <t>2026-05-05</t>
        </is>
      </c>
      <c r="B147" t="inlineStr">
        <is>
          <t>Kak Yudi</t>
        </is>
      </c>
      <c r="C147" t="inlineStr">
        <is>
          <t>SPORT-Hitam-L</t>
        </is>
      </c>
      <c r="D147" t="n">
        <v>12</v>
      </c>
      <c r="E147" t="n">
        <v>9500</v>
      </c>
      <c r="F147">
        <f>D147*E147</f>
        <v/>
      </c>
      <c r="G147" t="n">
        <v>114000</v>
      </c>
      <c r="J147" s="30" t="n">
        <v>46149</v>
      </c>
      <c r="K147" t="inlineStr">
        <is>
          <t>Kak Yudi</t>
        </is>
      </c>
      <c r="L147" t="inlineStr">
        <is>
          <t>SPORT-Hitam-L</t>
        </is>
      </c>
      <c r="M147" t="n">
        <v>12</v>
      </c>
      <c r="N147" t="n">
        <v>9500</v>
      </c>
      <c r="O147">
        <f>M147*N147</f>
        <v/>
      </c>
      <c r="P147" t="n">
        <v>114000</v>
      </c>
    </row>
    <row r="148">
      <c r="A148" t="inlineStr">
        <is>
          <t>2026-05-05</t>
        </is>
      </c>
      <c r="B148" t="inlineStr">
        <is>
          <t>Kak Yudi</t>
        </is>
      </c>
      <c r="C148" t="inlineStr">
        <is>
          <t>SPORT-Dusty Pink-L</t>
        </is>
      </c>
      <c r="D148" t="n">
        <v>2</v>
      </c>
      <c r="E148" t="n">
        <v>9500</v>
      </c>
      <c r="F148">
        <f>D148*E148</f>
        <v/>
      </c>
      <c r="G148" t="n">
        <v>19000</v>
      </c>
      <c r="J148" s="30" t="n">
        <v>46149</v>
      </c>
      <c r="K148" t="inlineStr">
        <is>
          <t>Kak Yudi</t>
        </is>
      </c>
      <c r="L148" t="inlineStr">
        <is>
          <t>SPORT-Dusty Pink-L</t>
        </is>
      </c>
      <c r="M148" t="n">
        <v>2</v>
      </c>
      <c r="N148" t="n">
        <v>9500</v>
      </c>
      <c r="O148">
        <f>M148*N148</f>
        <v/>
      </c>
      <c r="P148" t="n">
        <v>19000</v>
      </c>
    </row>
    <row r="149">
      <c r="A149" t="inlineStr">
        <is>
          <t>2026-05-05</t>
        </is>
      </c>
      <c r="B149" t="inlineStr">
        <is>
          <t>Kak Yudi</t>
        </is>
      </c>
      <c r="C149" t="inlineStr">
        <is>
          <t>SPORT-Hazelnut-L</t>
        </is>
      </c>
      <c r="D149" t="n">
        <v>1</v>
      </c>
      <c r="E149" t="n">
        <v>9500</v>
      </c>
      <c r="F149">
        <f>D149*E149</f>
        <v/>
      </c>
      <c r="G149" t="n">
        <v>9500</v>
      </c>
      <c r="J149" s="30" t="n">
        <v>46149</v>
      </c>
      <c r="K149" t="inlineStr">
        <is>
          <t>Kak Yudi</t>
        </is>
      </c>
      <c r="L149" t="inlineStr">
        <is>
          <t>SPORT-Hazelnut-L</t>
        </is>
      </c>
      <c r="M149" t="n">
        <v>1</v>
      </c>
      <c r="N149" t="n">
        <v>9500</v>
      </c>
      <c r="O149">
        <f>M149*N149</f>
        <v/>
      </c>
      <c r="P149" t="n">
        <v>9500</v>
      </c>
    </row>
    <row r="150">
      <c r="A150" t="inlineStr">
        <is>
          <t>2026-05-05</t>
        </is>
      </c>
      <c r="B150" t="inlineStr">
        <is>
          <t>Kak Yudi</t>
        </is>
      </c>
      <c r="C150" t="inlineStr">
        <is>
          <t>SPORT-Marun-L</t>
        </is>
      </c>
      <c r="D150" t="n">
        <v>1</v>
      </c>
      <c r="E150" t="n">
        <v>9500</v>
      </c>
      <c r="F150">
        <f>D150*E150</f>
        <v/>
      </c>
      <c r="G150" t="n">
        <v>9500</v>
      </c>
      <c r="J150" s="30" t="n">
        <v>46149</v>
      </c>
      <c r="K150" t="inlineStr">
        <is>
          <t>Kak Yudi</t>
        </is>
      </c>
      <c r="L150" t="inlineStr">
        <is>
          <t>SPORT-Marun-L</t>
        </is>
      </c>
      <c r="M150" t="n">
        <v>1</v>
      </c>
      <c r="N150" t="n">
        <v>9500</v>
      </c>
      <c r="O150">
        <f>M150*N150</f>
        <v/>
      </c>
      <c r="P150" t="n">
        <v>9500</v>
      </c>
    </row>
    <row r="151">
      <c r="A151" t="inlineStr">
        <is>
          <t>2026-05-05</t>
        </is>
      </c>
      <c r="B151" t="inlineStr">
        <is>
          <t>Kak Yudi</t>
        </is>
      </c>
      <c r="C151" t="inlineStr">
        <is>
          <t>SPORT-Putih-L</t>
        </is>
      </c>
      <c r="D151" t="n">
        <v>1</v>
      </c>
      <c r="E151" t="n">
        <v>9500</v>
      </c>
      <c r="F151">
        <f>D151*E151</f>
        <v/>
      </c>
      <c r="G151" t="n">
        <v>9500</v>
      </c>
      <c r="J151" s="30" t="n">
        <v>46149</v>
      </c>
      <c r="K151" t="inlineStr">
        <is>
          <t>Kak Yudi</t>
        </is>
      </c>
      <c r="L151" t="inlineStr">
        <is>
          <t>SPORT-Putih-L</t>
        </is>
      </c>
      <c r="M151" t="n">
        <v>1</v>
      </c>
      <c r="N151" t="n">
        <v>9500</v>
      </c>
      <c r="O151">
        <f>M151*N151</f>
        <v/>
      </c>
      <c r="P151" t="n">
        <v>9500</v>
      </c>
    </row>
    <row r="152">
      <c r="A152" t="inlineStr">
        <is>
          <t>2026-05-05</t>
        </is>
      </c>
      <c r="B152" t="inlineStr">
        <is>
          <t>Kak Yudi</t>
        </is>
      </c>
      <c r="C152" t="inlineStr">
        <is>
          <t>SPORT-Softpink-L</t>
        </is>
      </c>
      <c r="D152" t="n">
        <v>1</v>
      </c>
      <c r="E152" t="n">
        <v>9500</v>
      </c>
      <c r="F152">
        <f>D152*E152</f>
        <v/>
      </c>
      <c r="G152" t="n">
        <v>9500</v>
      </c>
      <c r="J152" s="30" t="n">
        <v>46149</v>
      </c>
      <c r="K152" t="inlineStr">
        <is>
          <t>Kak Yudi</t>
        </is>
      </c>
      <c r="L152" t="inlineStr">
        <is>
          <t>SPORT-Softpink-L</t>
        </is>
      </c>
      <c r="M152" t="n">
        <v>1</v>
      </c>
      <c r="N152" t="n">
        <v>9500</v>
      </c>
      <c r="O152">
        <f>M152*N152</f>
        <v/>
      </c>
      <c r="P152" t="n">
        <v>9500</v>
      </c>
    </row>
    <row r="153">
      <c r="A153" t="inlineStr">
        <is>
          <t>2026-05-05</t>
        </is>
      </c>
      <c r="B153" t="inlineStr">
        <is>
          <t>Kak Yudi</t>
        </is>
      </c>
      <c r="C153" t="inlineStr">
        <is>
          <t>SPORT-Denim-L</t>
        </is>
      </c>
      <c r="D153" t="n">
        <v>1</v>
      </c>
      <c r="E153" t="n">
        <v>9500</v>
      </c>
      <c r="F153">
        <f>D153*E153</f>
        <v/>
      </c>
      <c r="G153" t="n">
        <v>9500</v>
      </c>
      <c r="J153" s="30" t="n">
        <v>46149</v>
      </c>
      <c r="K153" t="inlineStr">
        <is>
          <t>Kak Yudi</t>
        </is>
      </c>
      <c r="L153" t="inlineStr">
        <is>
          <t>SPORT-Denim-L</t>
        </is>
      </c>
      <c r="M153" t="n">
        <v>1</v>
      </c>
      <c r="N153" t="n">
        <v>9500</v>
      </c>
      <c r="O153">
        <f>M153*N153</f>
        <v/>
      </c>
      <c r="P153" t="n">
        <v>9500</v>
      </c>
    </row>
    <row r="154">
      <c r="A154" t="inlineStr">
        <is>
          <t>2026-05-05</t>
        </is>
      </c>
      <c r="B154" t="inlineStr">
        <is>
          <t>Kak Yudi</t>
        </is>
      </c>
      <c r="C154" t="inlineStr">
        <is>
          <t>SPORT-Navy-L</t>
        </is>
      </c>
      <c r="D154" t="n">
        <v>1</v>
      </c>
      <c r="E154" t="n">
        <v>9500</v>
      </c>
      <c r="F154">
        <f>D154*E154</f>
        <v/>
      </c>
      <c r="G154" t="n">
        <v>9500</v>
      </c>
      <c r="J154" s="30" t="n">
        <v>46149</v>
      </c>
      <c r="K154" t="inlineStr">
        <is>
          <t>Kak Yudi</t>
        </is>
      </c>
      <c r="L154" t="inlineStr">
        <is>
          <t>SPORT-Navy-L</t>
        </is>
      </c>
      <c r="M154" t="n">
        <v>1</v>
      </c>
      <c r="N154" t="n">
        <v>9500</v>
      </c>
      <c r="O154">
        <f>M154*N154</f>
        <v/>
      </c>
      <c r="P154" t="n">
        <v>9500</v>
      </c>
    </row>
    <row r="155">
      <c r="A155" t="inlineStr">
        <is>
          <t>2026-05-05</t>
        </is>
      </c>
      <c r="B155" t="inlineStr">
        <is>
          <t>Kak Yudi</t>
        </is>
      </c>
      <c r="C155" t="inlineStr">
        <is>
          <t>SPORT-Smoke-M</t>
        </is>
      </c>
      <c r="D155" t="n">
        <v>6</v>
      </c>
      <c r="E155" t="n">
        <v>7500</v>
      </c>
      <c r="F155">
        <f>D155*E155</f>
        <v/>
      </c>
      <c r="G155" t="n">
        <v>45000</v>
      </c>
      <c r="J155" s="30" t="n">
        <v>46149</v>
      </c>
      <c r="K155" t="inlineStr">
        <is>
          <t>Kak Yudi</t>
        </is>
      </c>
      <c r="L155" t="inlineStr">
        <is>
          <t>SPORT-Smoke-M</t>
        </is>
      </c>
      <c r="M155" t="n">
        <v>6</v>
      </c>
      <c r="N155" t="n">
        <v>7500</v>
      </c>
      <c r="O155">
        <f>M155*N155</f>
        <v/>
      </c>
      <c r="P155" t="n">
        <v>45000</v>
      </c>
    </row>
    <row r="156">
      <c r="A156" t="inlineStr">
        <is>
          <t>2026-05-05</t>
        </is>
      </c>
      <c r="B156" t="inlineStr">
        <is>
          <t>Kak Yudi</t>
        </is>
      </c>
      <c r="C156" t="inlineStr">
        <is>
          <t>SPORT-Putih-M</t>
        </is>
      </c>
      <c r="D156" t="n">
        <v>2</v>
      </c>
      <c r="E156" t="n">
        <v>7500</v>
      </c>
      <c r="F156">
        <f>D156*E156</f>
        <v/>
      </c>
      <c r="G156" t="n">
        <v>15000</v>
      </c>
      <c r="J156" s="30" t="n">
        <v>46149</v>
      </c>
      <c r="K156" t="inlineStr">
        <is>
          <t>Kak Yudi</t>
        </is>
      </c>
      <c r="L156" t="inlineStr">
        <is>
          <t>SPORT-Putih-M</t>
        </is>
      </c>
      <c r="M156" t="n">
        <v>2</v>
      </c>
      <c r="N156" t="n">
        <v>7500</v>
      </c>
      <c r="O156">
        <f>M156*N156</f>
        <v/>
      </c>
      <c r="P156" t="n">
        <v>15000</v>
      </c>
    </row>
    <row r="157">
      <c r="A157" t="inlineStr">
        <is>
          <t>2026-05-05</t>
        </is>
      </c>
      <c r="B157" t="inlineStr">
        <is>
          <t>Kak Yudi</t>
        </is>
      </c>
      <c r="C157" t="inlineStr">
        <is>
          <t>SPORT-Hitam-M</t>
        </is>
      </c>
      <c r="D157" t="n">
        <v>10</v>
      </c>
      <c r="E157" t="n">
        <v>7500</v>
      </c>
      <c r="F157">
        <f>D157*E157</f>
        <v/>
      </c>
      <c r="G157" t="n">
        <v>75000</v>
      </c>
      <c r="J157" s="30" t="n">
        <v>46149</v>
      </c>
      <c r="K157" t="inlineStr">
        <is>
          <t>Kak Yudi</t>
        </is>
      </c>
      <c r="L157" t="inlineStr">
        <is>
          <t>SPORT-Hitam-M</t>
        </is>
      </c>
      <c r="M157" t="n">
        <v>10</v>
      </c>
      <c r="N157" t="n">
        <v>7500</v>
      </c>
      <c r="O157">
        <f>M157*N157</f>
        <v/>
      </c>
      <c r="P157" t="n">
        <v>75000</v>
      </c>
    </row>
    <row r="158">
      <c r="A158" t="inlineStr">
        <is>
          <t>2026-05-05</t>
        </is>
      </c>
      <c r="B158" t="inlineStr">
        <is>
          <t>Kak Yudi</t>
        </is>
      </c>
      <c r="C158" t="inlineStr">
        <is>
          <t>SPORT-Cream-M</t>
        </is>
      </c>
      <c r="D158" t="n">
        <v>4</v>
      </c>
      <c r="E158" t="n">
        <v>7500</v>
      </c>
      <c r="F158">
        <f>D158*E158</f>
        <v/>
      </c>
      <c r="G158" t="n">
        <v>30000</v>
      </c>
      <c r="J158" s="30" t="n">
        <v>46149</v>
      </c>
      <c r="K158" t="inlineStr">
        <is>
          <t>Kak Yudi</t>
        </is>
      </c>
      <c r="L158" t="inlineStr">
        <is>
          <t>SPORT-Cream-M</t>
        </is>
      </c>
      <c r="M158" t="n">
        <v>4</v>
      </c>
      <c r="N158" t="n">
        <v>7500</v>
      </c>
      <c r="O158">
        <f>M158*N158</f>
        <v/>
      </c>
      <c r="P158" t="n">
        <v>30000</v>
      </c>
    </row>
    <row r="159">
      <c r="A159" t="inlineStr">
        <is>
          <t>2026-05-05</t>
        </is>
      </c>
      <c r="B159" t="inlineStr">
        <is>
          <t>Kak Yudi</t>
        </is>
      </c>
      <c r="C159" t="inlineStr">
        <is>
          <t>SPORT-Cokelat Tua-M</t>
        </is>
      </c>
      <c r="D159" t="n">
        <v>2</v>
      </c>
      <c r="E159" t="n">
        <v>7500</v>
      </c>
      <c r="F159">
        <f>D159*E159</f>
        <v/>
      </c>
      <c r="G159" t="n">
        <v>15000</v>
      </c>
      <c r="J159" s="30" t="n">
        <v>46149</v>
      </c>
      <c r="K159" t="inlineStr">
        <is>
          <t>Kak Yudi</t>
        </is>
      </c>
      <c r="L159" t="inlineStr">
        <is>
          <t>SPORT-Cokelat Tua-M</t>
        </is>
      </c>
      <c r="M159" t="n">
        <v>2</v>
      </c>
      <c r="N159" t="n">
        <v>7500</v>
      </c>
      <c r="O159">
        <f>M159*N159</f>
        <v/>
      </c>
      <c r="P159" t="n">
        <v>15000</v>
      </c>
    </row>
    <row r="160">
      <c r="A160" t="inlineStr">
        <is>
          <t>2026-05-05</t>
        </is>
      </c>
      <c r="B160" t="inlineStr">
        <is>
          <t>Kak Yudi</t>
        </is>
      </c>
      <c r="C160" t="inlineStr">
        <is>
          <t>SPORT-Grey-M</t>
        </is>
      </c>
      <c r="D160" t="n">
        <v>1</v>
      </c>
      <c r="E160" t="n">
        <v>7500</v>
      </c>
      <c r="F160">
        <f>D160*E160</f>
        <v/>
      </c>
      <c r="G160" t="n">
        <v>7500</v>
      </c>
      <c r="J160" s="30" t="n">
        <v>46149</v>
      </c>
      <c r="K160" t="inlineStr">
        <is>
          <t>Kak Yudi</t>
        </is>
      </c>
      <c r="L160" t="inlineStr">
        <is>
          <t>SPORT-Grey-M</t>
        </is>
      </c>
      <c r="M160" t="n">
        <v>1</v>
      </c>
      <c r="N160" t="n">
        <v>7500</v>
      </c>
      <c r="O160">
        <f>M160*N160</f>
        <v/>
      </c>
      <c r="P160" t="n">
        <v>7500</v>
      </c>
    </row>
    <row r="161">
      <c r="A161" t="inlineStr">
        <is>
          <t>2026-05-05</t>
        </is>
      </c>
      <c r="B161" t="inlineStr">
        <is>
          <t>Kak Yudi</t>
        </is>
      </c>
      <c r="C161" t="inlineStr">
        <is>
          <t>SPORT-Almond-M</t>
        </is>
      </c>
      <c r="D161" t="n">
        <v>1</v>
      </c>
      <c r="E161" t="n">
        <v>7500</v>
      </c>
      <c r="F161">
        <f>D161*E161</f>
        <v/>
      </c>
      <c r="G161" t="n">
        <v>7500</v>
      </c>
      <c r="J161" s="30" t="n">
        <v>46149</v>
      </c>
      <c r="K161" t="inlineStr">
        <is>
          <t>Kak Yudi</t>
        </is>
      </c>
      <c r="L161" t="inlineStr">
        <is>
          <t>SPORT-Almond-M</t>
        </is>
      </c>
      <c r="M161" t="n">
        <v>1</v>
      </c>
      <c r="N161" t="n">
        <v>7500</v>
      </c>
      <c r="O161">
        <f>M161*N161</f>
        <v/>
      </c>
      <c r="P161" t="n">
        <v>7500</v>
      </c>
    </row>
    <row r="162">
      <c r="A162" t="inlineStr">
        <is>
          <t>2026-05-05</t>
        </is>
      </c>
      <c r="B162" t="inlineStr">
        <is>
          <t>Kak Yudi</t>
        </is>
      </c>
      <c r="C162" t="inlineStr">
        <is>
          <t>SPORT-Denim-L</t>
        </is>
      </c>
      <c r="D162" t="n">
        <v>1</v>
      </c>
      <c r="E162" t="n">
        <v>7500</v>
      </c>
      <c r="F162">
        <f>D162*E162</f>
        <v/>
      </c>
      <c r="G162" t="n">
        <v>7500</v>
      </c>
      <c r="J162" s="30" t="n">
        <v>46149</v>
      </c>
      <c r="K162" t="inlineStr">
        <is>
          <t>Kak Yudi</t>
        </is>
      </c>
      <c r="L162" t="inlineStr">
        <is>
          <t>SPORT-Denim-L</t>
        </is>
      </c>
      <c r="M162" t="n">
        <v>1</v>
      </c>
      <c r="N162" t="n">
        <v>7500</v>
      </c>
      <c r="O162">
        <f>M162*N162</f>
        <v/>
      </c>
      <c r="P162" t="n">
        <v>7500</v>
      </c>
    </row>
    <row r="163">
      <c r="A163" t="inlineStr">
        <is>
          <t>2026-05-05</t>
        </is>
      </c>
      <c r="B163" t="inlineStr">
        <is>
          <t>Kak Yudi</t>
        </is>
      </c>
      <c r="C163" t="inlineStr">
        <is>
          <t>SPORT-Putih-S</t>
        </is>
      </c>
      <c r="D163" t="n">
        <v>4</v>
      </c>
      <c r="E163" t="n">
        <v>5000</v>
      </c>
      <c r="F163">
        <f>D163*E163</f>
        <v/>
      </c>
      <c r="G163" t="n">
        <v>20000</v>
      </c>
      <c r="J163" s="30" t="n">
        <v>46149</v>
      </c>
      <c r="K163" t="inlineStr">
        <is>
          <t>Kak Yudi</t>
        </is>
      </c>
      <c r="L163" t="inlineStr">
        <is>
          <t>SPORT-Putih-S</t>
        </is>
      </c>
      <c r="M163" t="n">
        <v>4</v>
      </c>
      <c r="N163" t="n">
        <v>5000</v>
      </c>
      <c r="O163">
        <f>M163*N163</f>
        <v/>
      </c>
      <c r="P163" t="n">
        <v>20000</v>
      </c>
    </row>
    <row r="164">
      <c r="A164" t="inlineStr">
        <is>
          <t>2026-05-05</t>
        </is>
      </c>
      <c r="B164" t="inlineStr">
        <is>
          <t>Kak Yudi</t>
        </is>
      </c>
      <c r="C164" t="inlineStr">
        <is>
          <t>SPORT-Hitam-S</t>
        </is>
      </c>
      <c r="D164" t="n">
        <v>4</v>
      </c>
      <c r="E164" t="n">
        <v>5000</v>
      </c>
      <c r="F164">
        <f>D164*E164</f>
        <v/>
      </c>
      <c r="G164" t="n">
        <v>20000</v>
      </c>
      <c r="J164" s="30" t="n">
        <v>46149</v>
      </c>
      <c r="K164" t="inlineStr">
        <is>
          <t>Kak Yudi</t>
        </is>
      </c>
      <c r="L164" t="inlineStr">
        <is>
          <t>SPORT-Hitam-S</t>
        </is>
      </c>
      <c r="M164" t="n">
        <v>4</v>
      </c>
      <c r="N164" t="n">
        <v>5000</v>
      </c>
      <c r="O164">
        <f>M164*N164</f>
        <v/>
      </c>
      <c r="P164" t="n">
        <v>20000</v>
      </c>
    </row>
    <row r="165">
      <c r="A165" t="inlineStr">
        <is>
          <t>2026-05-05</t>
        </is>
      </c>
      <c r="B165" t="inlineStr">
        <is>
          <t>Kak Yudi</t>
        </is>
      </c>
      <c r="C165" t="inlineStr">
        <is>
          <t>SPORT-Denim-S</t>
        </is>
      </c>
      <c r="D165" t="n">
        <v>1</v>
      </c>
      <c r="E165" t="n">
        <v>5000</v>
      </c>
      <c r="F165">
        <f>D165*E165</f>
        <v/>
      </c>
      <c r="G165" t="n">
        <v>5000</v>
      </c>
      <c r="J165" s="30" t="n">
        <v>46149</v>
      </c>
      <c r="K165" t="inlineStr">
        <is>
          <t>Kak Yudi</t>
        </is>
      </c>
      <c r="L165" t="inlineStr">
        <is>
          <t>SPORT-Denim-S</t>
        </is>
      </c>
      <c r="M165" t="n">
        <v>1</v>
      </c>
      <c r="N165" t="n">
        <v>5000</v>
      </c>
      <c r="O165">
        <f>M165*N165</f>
        <v/>
      </c>
      <c r="P165" t="n">
        <v>5000</v>
      </c>
    </row>
    <row r="166">
      <c r="A166" t="inlineStr">
        <is>
          <t>2026-05-05</t>
        </is>
      </c>
      <c r="B166" t="inlineStr">
        <is>
          <t>Kak Yudi</t>
        </is>
      </c>
      <c r="C166" t="inlineStr">
        <is>
          <t>SPORT-Smoke-S</t>
        </is>
      </c>
      <c r="D166" t="n">
        <v>1</v>
      </c>
      <c r="E166" t="n">
        <v>5000</v>
      </c>
      <c r="F166">
        <f>D166*E166</f>
        <v/>
      </c>
      <c r="G166" t="n">
        <v>5000</v>
      </c>
      <c r="J166" s="30" t="n">
        <v>46149</v>
      </c>
      <c r="K166" t="inlineStr">
        <is>
          <t>Kak Yudi</t>
        </is>
      </c>
      <c r="L166" t="inlineStr">
        <is>
          <t>SPORT-Smoke-S</t>
        </is>
      </c>
      <c r="M166" t="n">
        <v>1</v>
      </c>
      <c r="N166" t="n">
        <v>5000</v>
      </c>
      <c r="O166">
        <f>M166*N166</f>
        <v/>
      </c>
      <c r="P166" t="n">
        <v>5000</v>
      </c>
    </row>
    <row r="167">
      <c r="A167" t="inlineStr">
        <is>
          <t>2026-05-05</t>
        </is>
      </c>
      <c r="B167" t="inlineStr">
        <is>
          <t>Kak Yudi</t>
        </is>
      </c>
      <c r="C167" t="inlineStr">
        <is>
          <t>SA-Army-L</t>
        </is>
      </c>
      <c r="D167" t="n">
        <v>2</v>
      </c>
      <c r="E167" t="n">
        <v>7500</v>
      </c>
      <c r="F167">
        <f>D167*E167</f>
        <v/>
      </c>
      <c r="G167" t="n">
        <v>15000</v>
      </c>
      <c r="J167" s="30" t="n">
        <v>46149</v>
      </c>
      <c r="K167" t="inlineStr">
        <is>
          <t>Kak Yudi</t>
        </is>
      </c>
      <c r="L167" t="inlineStr">
        <is>
          <t>SA-Army-L</t>
        </is>
      </c>
      <c r="M167" t="n">
        <v>2</v>
      </c>
      <c r="N167" t="n">
        <v>7500</v>
      </c>
      <c r="O167">
        <f>M167*N167</f>
        <v/>
      </c>
      <c r="P167" t="n">
        <v>15000</v>
      </c>
    </row>
    <row r="168">
      <c r="A168" t="inlineStr">
        <is>
          <t>2026-05-07</t>
        </is>
      </c>
      <c r="B168" t="inlineStr">
        <is>
          <t>Kak Hari</t>
        </is>
      </c>
      <c r="C168" t="inlineStr">
        <is>
          <t>Pembersihan (Clearing Data)</t>
        </is>
      </c>
      <c r="D168" t="n">
        <v>1</v>
      </c>
      <c r="E168" t="n">
        <v>1842000</v>
      </c>
      <c r="F168">
        <f>D168*E168</f>
        <v/>
      </c>
      <c r="G168" t="n">
        <v>1842000</v>
      </c>
      <c r="J168" t="inlineStr">
        <is>
          <t>2026-05-07</t>
        </is>
      </c>
      <c r="K168" t="inlineStr">
        <is>
          <t>Kak Hari</t>
        </is>
      </c>
      <c r="L168" t="inlineStr">
        <is>
          <t>Pembersihan (Clearing Data)</t>
        </is>
      </c>
      <c r="M168" t="n">
        <v>1</v>
      </c>
      <c r="N168" t="n">
        <v>1842000</v>
      </c>
      <c r="O168">
        <f>M168*N168</f>
        <v/>
      </c>
      <c r="P168" t="n">
        <v>1842000</v>
      </c>
    </row>
    <row r="169">
      <c r="A169" t="inlineStr">
        <is>
          <t>2026-05-07</t>
        </is>
      </c>
      <c r="B169" t="inlineStr">
        <is>
          <t>Kak Hari</t>
        </is>
      </c>
      <c r="C169" t="inlineStr">
        <is>
          <t>JSO-Sage</t>
        </is>
      </c>
      <c r="D169" t="n">
        <v>175</v>
      </c>
      <c r="E169" t="n">
        <v>12000</v>
      </c>
      <c r="F169">
        <f>D169*E169</f>
        <v/>
      </c>
      <c r="G169" t="n">
        <v>2100000</v>
      </c>
      <c r="J169" t="inlineStr">
        <is>
          <t>2026-05-07</t>
        </is>
      </c>
      <c r="K169" t="inlineStr">
        <is>
          <t>Kak Hari</t>
        </is>
      </c>
      <c r="L169" t="inlineStr">
        <is>
          <t>JSO-Sage</t>
        </is>
      </c>
      <c r="M169" t="n">
        <v>175</v>
      </c>
      <c r="N169" t="n">
        <v>12000</v>
      </c>
      <c r="O169">
        <f>M169*N169</f>
        <v/>
      </c>
      <c r="P169" t="n">
        <v>2100000</v>
      </c>
    </row>
    <row r="170">
      <c r="A170" t="inlineStr">
        <is>
          <t>2026-05-07</t>
        </is>
      </c>
      <c r="B170" t="inlineStr">
        <is>
          <t>Kak Hari</t>
        </is>
      </c>
      <c r="C170" t="inlineStr">
        <is>
          <t>JSO-Cokelat Tua</t>
        </is>
      </c>
      <c r="D170" t="n">
        <v>86</v>
      </c>
      <c r="E170" t="n">
        <v>12000</v>
      </c>
      <c r="F170">
        <f>D170*E170</f>
        <v/>
      </c>
      <c r="G170" t="n">
        <v>1032000</v>
      </c>
      <c r="J170" t="inlineStr">
        <is>
          <t>2026-05-07</t>
        </is>
      </c>
      <c r="K170" t="inlineStr">
        <is>
          <t>Kak Hari</t>
        </is>
      </c>
      <c r="L170" t="inlineStr">
        <is>
          <t>JSO-Cokelat Tua</t>
        </is>
      </c>
      <c r="M170" t="n">
        <v>86</v>
      </c>
      <c r="N170" t="n">
        <v>12000</v>
      </c>
      <c r="O170">
        <f>M170*N170</f>
        <v/>
      </c>
      <c r="P170" t="n">
        <v>1032000</v>
      </c>
    </row>
    <row r="171">
      <c r="A171" t="inlineStr">
        <is>
          <t>2026-05-07</t>
        </is>
      </c>
      <c r="B171" t="inlineStr">
        <is>
          <t>Kak Hari</t>
        </is>
      </c>
      <c r="C171" t="inlineStr">
        <is>
          <t>JSO-Burgundy</t>
        </is>
      </c>
      <c r="D171" t="n">
        <v>162</v>
      </c>
      <c r="E171" t="n">
        <v>12000</v>
      </c>
      <c r="F171">
        <f>D171*E171</f>
        <v/>
      </c>
      <c r="G171" t="n">
        <v>1944000</v>
      </c>
      <c r="J171" t="inlineStr">
        <is>
          <t>2026-05-07</t>
        </is>
      </c>
      <c r="K171" t="inlineStr">
        <is>
          <t>Kak Hari</t>
        </is>
      </c>
      <c r="L171" t="inlineStr">
        <is>
          <t>JSO-Burgundy</t>
        </is>
      </c>
      <c r="M171" t="n">
        <v>162</v>
      </c>
      <c r="N171" t="n">
        <v>12000</v>
      </c>
      <c r="O171">
        <f>M171*N171</f>
        <v/>
      </c>
      <c r="P171" t="n">
        <v>1944000</v>
      </c>
    </row>
    <row r="172">
      <c r="A172" t="inlineStr">
        <is>
          <t>2026-05-07</t>
        </is>
      </c>
      <c r="B172" t="inlineStr">
        <is>
          <t>Kak Hari</t>
        </is>
      </c>
      <c r="C172" t="inlineStr">
        <is>
          <t>JSO-Army</t>
        </is>
      </c>
      <c r="D172" t="n">
        <v>28</v>
      </c>
      <c r="E172" t="n">
        <v>12000</v>
      </c>
      <c r="F172">
        <f>D172*E172</f>
        <v/>
      </c>
      <c r="G172" t="n">
        <v>336000</v>
      </c>
      <c r="J172" t="inlineStr">
        <is>
          <t>2026-05-07</t>
        </is>
      </c>
      <c r="K172" t="inlineStr">
        <is>
          <t>Kak Hari</t>
        </is>
      </c>
      <c r="L172" t="inlineStr">
        <is>
          <t>JSO-Army</t>
        </is>
      </c>
      <c r="M172" t="n">
        <v>28</v>
      </c>
      <c r="N172" t="n">
        <v>12000</v>
      </c>
      <c r="O172">
        <f>M172*N172</f>
        <v/>
      </c>
      <c r="P172" t="n">
        <v>336000</v>
      </c>
    </row>
    <row r="173">
      <c r="A173" t="inlineStr">
        <is>
          <t>2026-05-07</t>
        </is>
      </c>
      <c r="B173" t="inlineStr">
        <is>
          <t>Kak Hari</t>
        </is>
      </c>
      <c r="C173" t="inlineStr">
        <is>
          <t>JSO-Hitam</t>
        </is>
      </c>
      <c r="D173" t="n">
        <v>289</v>
      </c>
      <c r="E173" t="n">
        <v>12000</v>
      </c>
      <c r="F173">
        <f>D173*E173</f>
        <v/>
      </c>
      <c r="G173" t="n">
        <v>3468000</v>
      </c>
      <c r="J173" t="inlineStr">
        <is>
          <t>2026-05-07</t>
        </is>
      </c>
      <c r="K173" t="inlineStr">
        <is>
          <t>Kak Hari</t>
        </is>
      </c>
      <c r="L173" t="inlineStr">
        <is>
          <t>JSO-Hitam</t>
        </is>
      </c>
      <c r="M173" t="n">
        <v>289</v>
      </c>
      <c r="N173" t="n">
        <v>12000</v>
      </c>
      <c r="O173">
        <f>M173*N173</f>
        <v/>
      </c>
      <c r="P173" t="n">
        <v>3468000</v>
      </c>
    </row>
    <row r="174">
      <c r="A174" t="inlineStr">
        <is>
          <t>2026-05-07</t>
        </is>
      </c>
      <c r="B174" t="inlineStr">
        <is>
          <t>Kak Hari</t>
        </is>
      </c>
      <c r="C174" t="inlineStr">
        <is>
          <t>JSO-Choco</t>
        </is>
      </c>
      <c r="D174" t="n">
        <v>169</v>
      </c>
      <c r="E174" t="n">
        <v>12000</v>
      </c>
      <c r="F174">
        <f>D174*E174</f>
        <v/>
      </c>
      <c r="G174" t="n">
        <v>2028000</v>
      </c>
      <c r="J174" t="inlineStr">
        <is>
          <t>2026-05-07</t>
        </is>
      </c>
      <c r="K174" t="inlineStr">
        <is>
          <t>Kak Hari</t>
        </is>
      </c>
      <c r="L174" t="inlineStr">
        <is>
          <t>JSO-Choco</t>
        </is>
      </c>
      <c r="M174" t="n">
        <v>169</v>
      </c>
      <c r="N174" t="n">
        <v>12000</v>
      </c>
      <c r="O174">
        <f>M174*N174</f>
        <v/>
      </c>
      <c r="P174" t="n">
        <v>2028000</v>
      </c>
    </row>
    <row r="175">
      <c r="A175" t="inlineStr">
        <is>
          <t>2026-05-07</t>
        </is>
      </c>
      <c r="B175" t="inlineStr">
        <is>
          <t>Kak Hari</t>
        </is>
      </c>
      <c r="C175" t="inlineStr">
        <is>
          <t>JSO-Sage</t>
        </is>
      </c>
      <c r="D175" t="n">
        <v>175</v>
      </c>
      <c r="E175" t="n">
        <v>12000</v>
      </c>
      <c r="F175">
        <f>D175*E175</f>
        <v/>
      </c>
      <c r="G175" t="n">
        <v>2100000</v>
      </c>
      <c r="J175" t="inlineStr">
        <is>
          <t>2026-05-07</t>
        </is>
      </c>
      <c r="K175" t="inlineStr">
        <is>
          <t>Kak Hari</t>
        </is>
      </c>
      <c r="L175" t="inlineStr">
        <is>
          <t>JSO-Sage</t>
        </is>
      </c>
      <c r="M175" t="n">
        <v>175</v>
      </c>
      <c r="N175" t="n">
        <v>12000</v>
      </c>
      <c r="O175">
        <f>M175*N175</f>
        <v/>
      </c>
      <c r="P175" t="n">
        <v>2100000</v>
      </c>
    </row>
    <row r="176">
      <c r="A176" t="inlineStr">
        <is>
          <t>2026-05-07</t>
        </is>
      </c>
      <c r="B176" t="inlineStr">
        <is>
          <t>Kak Hari</t>
        </is>
      </c>
      <c r="C176" t="inlineStr">
        <is>
          <t>DG-Cokelat Tua</t>
        </is>
      </c>
      <c r="D176" t="n">
        <v>100</v>
      </c>
      <c r="E176" t="n">
        <v>9000</v>
      </c>
      <c r="F176">
        <f>D176*E176</f>
        <v/>
      </c>
      <c r="G176" t="n">
        <v>900000</v>
      </c>
      <c r="J176" t="inlineStr">
        <is>
          <t>2026-05-07</t>
        </is>
      </c>
      <c r="K176" t="inlineStr">
        <is>
          <t>Kak Hari</t>
        </is>
      </c>
      <c r="L176" t="inlineStr">
        <is>
          <t>DG-Cokelat Tua</t>
        </is>
      </c>
      <c r="M176" t="n">
        <v>100</v>
      </c>
      <c r="N176" t="n">
        <v>9000</v>
      </c>
      <c r="O176">
        <f>M176*N176</f>
        <v/>
      </c>
      <c r="P176" t="n">
        <v>900000</v>
      </c>
    </row>
    <row r="177">
      <c r="A177" t="inlineStr">
        <is>
          <t>2026-05-07</t>
        </is>
      </c>
      <c r="B177" t="inlineStr">
        <is>
          <t>Kak Hari</t>
        </is>
      </c>
      <c r="C177" t="inlineStr">
        <is>
          <t>S3-HITAM</t>
        </is>
      </c>
      <c r="D177" t="n">
        <v>20</v>
      </c>
      <c r="E177" t="n">
        <v>9000</v>
      </c>
      <c r="F177">
        <f>D177*E177</f>
        <v/>
      </c>
      <c r="G177" t="n">
        <v>180000</v>
      </c>
      <c r="J177" t="inlineStr">
        <is>
          <t>2026-05-07</t>
        </is>
      </c>
      <c r="K177" t="inlineStr">
        <is>
          <t>Kak Hari</t>
        </is>
      </c>
      <c r="L177" t="inlineStr">
        <is>
          <t>S3-HITAM</t>
        </is>
      </c>
      <c r="M177" t="n">
        <v>20</v>
      </c>
      <c r="N177" t="n">
        <v>9000</v>
      </c>
      <c r="O177">
        <f>M177*N177</f>
        <v/>
      </c>
      <c r="P177" t="n">
        <v>180000</v>
      </c>
    </row>
    <row r="178">
      <c r="A178" t="inlineStr">
        <is>
          <t>2026-05-07</t>
        </is>
      </c>
      <c r="B178" t="inlineStr">
        <is>
          <t>Kak Hari</t>
        </is>
      </c>
      <c r="C178" t="inlineStr">
        <is>
          <t>S3-CHOCO</t>
        </is>
      </c>
      <c r="D178" t="n">
        <v>20</v>
      </c>
      <c r="E178" t="n">
        <v>9000</v>
      </c>
      <c r="F178">
        <f>D178*E178</f>
        <v/>
      </c>
      <c r="G178" t="n">
        <v>180000</v>
      </c>
      <c r="J178" t="inlineStr">
        <is>
          <t>2026-05-07</t>
        </is>
      </c>
      <c r="K178" t="inlineStr">
        <is>
          <t>Kak Hari</t>
        </is>
      </c>
      <c r="L178" t="inlineStr">
        <is>
          <t>S3-CHOCO</t>
        </is>
      </c>
      <c r="M178" t="n">
        <v>20</v>
      </c>
      <c r="N178" t="n">
        <v>9000</v>
      </c>
      <c r="O178">
        <f>M178*N178</f>
        <v/>
      </c>
      <c r="P178" t="n">
        <v>180000</v>
      </c>
    </row>
    <row r="179">
      <c r="A179" t="inlineStr">
        <is>
          <t>2026-05-07</t>
        </is>
      </c>
      <c r="B179" t="inlineStr">
        <is>
          <t>Kak Hari</t>
        </is>
      </c>
      <c r="C179" t="inlineStr">
        <is>
          <t>S3-SAGE</t>
        </is>
      </c>
      <c r="D179" t="n">
        <v>20</v>
      </c>
      <c r="E179" t="n">
        <v>9000</v>
      </c>
      <c r="F179">
        <f>D179*E179</f>
        <v/>
      </c>
      <c r="G179" t="n">
        <v>180000</v>
      </c>
      <c r="J179" t="inlineStr">
        <is>
          <t>2026-05-07</t>
        </is>
      </c>
      <c r="K179" t="inlineStr">
        <is>
          <t>Kak Hari</t>
        </is>
      </c>
      <c r="L179" t="inlineStr">
        <is>
          <t>S3-SAGE</t>
        </is>
      </c>
      <c r="M179" t="n">
        <v>20</v>
      </c>
      <c r="N179" t="n">
        <v>9000</v>
      </c>
      <c r="O179">
        <f>M179*N179</f>
        <v/>
      </c>
      <c r="P179" t="n">
        <v>180000</v>
      </c>
    </row>
    <row r="180">
      <c r="A180" t="inlineStr">
        <is>
          <t>2026-05-08</t>
        </is>
      </c>
      <c r="B180" t="inlineStr">
        <is>
          <t>Kak Yudi</t>
        </is>
      </c>
      <c r="C180" t="inlineStr">
        <is>
          <t>SPORT-Denim-S</t>
        </is>
      </c>
      <c r="D180" t="n">
        <v>1</v>
      </c>
      <c r="E180" t="n">
        <v>5000</v>
      </c>
      <c r="F180">
        <f>D180*E180</f>
        <v/>
      </c>
      <c r="G180" t="n">
        <v>5000</v>
      </c>
      <c r="J180" t="inlineStr">
        <is>
          <t>2026-05-11</t>
        </is>
      </c>
      <c r="K180" t="inlineStr">
        <is>
          <t>Kak Yudi</t>
        </is>
      </c>
      <c r="L180" t="inlineStr">
        <is>
          <t>SPORT-Denim-S</t>
        </is>
      </c>
      <c r="M180" t="n">
        <v>1</v>
      </c>
      <c r="N180" t="n">
        <v>5000</v>
      </c>
      <c r="P180" t="n">
        <v>5000</v>
      </c>
    </row>
  </sheetData>
  <autoFilter ref="A1:G179"/>
  <conditionalFormatting sqref="B1:B1048576 K1:K1048576">
    <cfRule type="cellIs" priority="7" operator="equal" dxfId="2">
      <formula>"Kaji Yudi"</formula>
    </cfRule>
    <cfRule type="cellIs" priority="8" operator="equal" dxfId="1">
      <formula>"Kak Yudi"</formula>
    </cfRule>
    <cfRule type="cellIs" priority="9" operator="equal" dxfId="0">
      <formula>"Kak Hari"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3"/>
  <sheetViews>
    <sheetView workbookViewId="0">
      <selection activeCell="D14" sqref="D14"/>
    </sheetView>
  </sheetViews>
  <sheetFormatPr baseColWidth="8" defaultRowHeight="15"/>
  <cols>
    <col width="18.140625" customWidth="1" style="13" min="1" max="1"/>
    <col width="15" customWidth="1" style="24" min="2" max="2"/>
  </cols>
  <sheetData>
    <row r="1" ht="15" customHeight="1" s="35">
      <c r="A1" s="12" t="inlineStr">
        <is>
          <t>SKU</t>
        </is>
      </c>
      <c r="B1" s="23" t="inlineStr">
        <is>
          <t>Harga Satuan</t>
        </is>
      </c>
    </row>
    <row r="2">
      <c r="A2" s="11" t="inlineStr">
        <is>
          <t>DG-3PCS</t>
        </is>
      </c>
    </row>
    <row r="3">
      <c r="A3" s="11" t="inlineStr">
        <is>
          <t>DG-Almond</t>
        </is>
      </c>
    </row>
    <row r="4">
      <c r="A4" s="11" t="inlineStr">
        <is>
          <t>DG-Almond-L</t>
        </is>
      </c>
    </row>
    <row r="5">
      <c r="A5" s="11" t="inlineStr">
        <is>
          <t>DG-Army</t>
        </is>
      </c>
    </row>
    <row r="6">
      <c r="A6" s="11" t="inlineStr">
        <is>
          <t>DG-Army-L</t>
        </is>
      </c>
    </row>
    <row r="7">
      <c r="A7" s="11" t="inlineStr">
        <is>
          <t>DG-Bata</t>
        </is>
      </c>
    </row>
    <row r="8">
      <c r="A8" s="11" t="inlineStr">
        <is>
          <t>DG-Bata-L</t>
        </is>
      </c>
    </row>
    <row r="9">
      <c r="A9" s="11" t="inlineStr">
        <is>
          <t>DG-Beige</t>
        </is>
      </c>
    </row>
    <row r="10">
      <c r="A10" s="11" t="inlineStr">
        <is>
          <t>DG-Beige-L</t>
        </is>
      </c>
    </row>
    <row r="11">
      <c r="A11" s="11" t="inlineStr">
        <is>
          <t>DG-Burgundy</t>
        </is>
      </c>
    </row>
    <row r="12">
      <c r="A12" s="11" t="inlineStr">
        <is>
          <t>DG-Burgundy-L</t>
        </is>
      </c>
    </row>
    <row r="13">
      <c r="A13" s="11" t="inlineStr">
        <is>
          <t>DG-Caramel</t>
        </is>
      </c>
    </row>
    <row r="14">
      <c r="A14" s="11" t="inlineStr">
        <is>
          <t>DG-Caramel-L</t>
        </is>
      </c>
    </row>
    <row r="15">
      <c r="A15" s="11" t="inlineStr">
        <is>
          <t>DG-Choco</t>
        </is>
      </c>
    </row>
    <row r="16">
      <c r="A16" s="11" t="inlineStr">
        <is>
          <t>DG-Choco-L</t>
        </is>
      </c>
    </row>
    <row r="17">
      <c r="A17" s="11" t="inlineStr">
        <is>
          <t>DG-Cokelat Tua</t>
        </is>
      </c>
    </row>
    <row r="18">
      <c r="A18" s="11" t="inlineStr">
        <is>
          <t>DG-Cokelat Tua-L</t>
        </is>
      </c>
    </row>
    <row r="19">
      <c r="A19" s="11" t="inlineStr">
        <is>
          <t>DG-Coksu</t>
        </is>
      </c>
    </row>
    <row r="20">
      <c r="A20" s="11" t="inlineStr">
        <is>
          <t>DG-Coksu-L</t>
        </is>
      </c>
    </row>
    <row r="21">
      <c r="A21" s="11" t="inlineStr">
        <is>
          <t>DG-Cream</t>
        </is>
      </c>
    </row>
    <row r="22">
      <c r="A22" s="11" t="inlineStr">
        <is>
          <t>DG-Cream-L</t>
        </is>
      </c>
    </row>
    <row r="23">
      <c r="A23" s="11" t="inlineStr">
        <is>
          <t>DG-Dark Grey</t>
        </is>
      </c>
    </row>
    <row r="24">
      <c r="A24" s="11" t="inlineStr">
        <is>
          <t>DG-Dark Grey-L</t>
        </is>
      </c>
    </row>
    <row r="25">
      <c r="A25" s="11" t="inlineStr">
        <is>
          <t>DG-Denim</t>
        </is>
      </c>
    </row>
    <row r="26">
      <c r="A26" s="11" t="inlineStr">
        <is>
          <t>DG-Denim-L</t>
        </is>
      </c>
    </row>
    <row r="27">
      <c r="A27" s="11" t="inlineStr">
        <is>
          <t>DG-Dusty Pink</t>
        </is>
      </c>
    </row>
    <row r="28">
      <c r="A28" s="11" t="inlineStr">
        <is>
          <t>DG-Dusty Pink-L</t>
        </is>
      </c>
    </row>
    <row r="29">
      <c r="A29" s="11" t="inlineStr">
        <is>
          <t>DG-Fossil</t>
        </is>
      </c>
    </row>
    <row r="30">
      <c r="A30" s="11" t="inlineStr">
        <is>
          <t>DG-Grey</t>
        </is>
      </c>
    </row>
    <row r="31">
      <c r="A31" s="11" t="inlineStr">
        <is>
          <t>DG-Grey-L</t>
        </is>
      </c>
    </row>
    <row r="32">
      <c r="A32" s="11" t="inlineStr">
        <is>
          <t>DG-Hazelnut</t>
        </is>
      </c>
    </row>
    <row r="33">
      <c r="A33" s="11" t="inlineStr">
        <is>
          <t>DG-Hazelnut-L</t>
        </is>
      </c>
    </row>
    <row r="34">
      <c r="A34" s="11" t="inlineStr">
        <is>
          <t>DG-Hitam</t>
        </is>
      </c>
    </row>
    <row r="35">
      <c r="A35" s="11" t="inlineStr">
        <is>
          <t>DG-Hitam-L</t>
        </is>
      </c>
    </row>
    <row r="36">
      <c r="A36" s="11" t="inlineStr">
        <is>
          <t>DG-Jotol</t>
        </is>
      </c>
    </row>
    <row r="37">
      <c r="A37" s="11" t="inlineStr">
        <is>
          <t>DG-Jotol-L</t>
        </is>
      </c>
    </row>
    <row r="38">
      <c r="A38" s="11" t="inlineStr">
        <is>
          <t>DG-Lilac</t>
        </is>
      </c>
    </row>
    <row r="39">
      <c r="A39" s="11" t="inlineStr">
        <is>
          <t>DG-Lilac-L</t>
        </is>
      </c>
    </row>
    <row r="40">
      <c r="A40" s="11" t="inlineStr">
        <is>
          <t>DG-Lime</t>
        </is>
      </c>
    </row>
    <row r="41">
      <c r="A41" s="11" t="inlineStr">
        <is>
          <t>DG-Lime-L</t>
        </is>
      </c>
    </row>
    <row r="42">
      <c r="A42" s="11" t="inlineStr">
        <is>
          <t>DG-Maroon</t>
        </is>
      </c>
    </row>
    <row r="43">
      <c r="A43" s="11" t="inlineStr">
        <is>
          <t>DG-Marun-L</t>
        </is>
      </c>
    </row>
    <row r="44">
      <c r="A44" s="11" t="inlineStr">
        <is>
          <t>DG-Moca</t>
        </is>
      </c>
    </row>
    <row r="45">
      <c r="A45" s="11" t="inlineStr">
        <is>
          <t>DG-Moca-L</t>
        </is>
      </c>
    </row>
    <row r="46">
      <c r="A46" s="11" t="inlineStr">
        <is>
          <t>DG-Mustard</t>
        </is>
      </c>
    </row>
    <row r="47">
      <c r="A47" s="11" t="inlineStr">
        <is>
          <t>DG-Mustard-L</t>
        </is>
      </c>
    </row>
    <row r="48">
      <c r="A48" s="11" t="inlineStr">
        <is>
          <t>DG-Navy</t>
        </is>
      </c>
    </row>
    <row r="49">
      <c r="A49" s="11" t="inlineStr">
        <is>
          <t>DG-Navy-L</t>
        </is>
      </c>
    </row>
    <row r="50">
      <c r="A50" s="11" t="inlineStr">
        <is>
          <t>DG-Olive</t>
        </is>
      </c>
    </row>
    <row r="51">
      <c r="A51" s="11" t="inlineStr">
        <is>
          <t>DG-Olive-L</t>
        </is>
      </c>
    </row>
    <row r="52">
      <c r="A52" s="11" t="inlineStr">
        <is>
          <t>DG-Putih</t>
        </is>
      </c>
    </row>
    <row r="53">
      <c r="A53" s="11" t="inlineStr">
        <is>
          <t>DG-Putih Tulang</t>
        </is>
      </c>
    </row>
    <row r="54">
      <c r="A54" s="11" t="inlineStr">
        <is>
          <t>DG-Putih Tulang-L</t>
        </is>
      </c>
    </row>
    <row r="55">
      <c r="A55" s="11" t="inlineStr">
        <is>
          <t>DG-Putih-L</t>
        </is>
      </c>
    </row>
    <row r="56">
      <c r="A56" s="11" t="inlineStr">
        <is>
          <t>DG-Sage</t>
        </is>
      </c>
    </row>
    <row r="57">
      <c r="A57" s="11" t="inlineStr">
        <is>
          <t>DG-Sage-L</t>
        </is>
      </c>
    </row>
    <row r="58">
      <c r="A58" s="11" t="inlineStr">
        <is>
          <t>DG-Smoke</t>
        </is>
      </c>
    </row>
    <row r="59">
      <c r="A59" s="11" t="inlineStr">
        <is>
          <t>DG-Smoke-L</t>
        </is>
      </c>
    </row>
    <row r="60">
      <c r="A60" s="11" t="inlineStr">
        <is>
          <t>DG-Softpink</t>
        </is>
      </c>
    </row>
    <row r="61">
      <c r="A61" s="11" t="inlineStr">
        <is>
          <t>DG-Softpink-L</t>
        </is>
      </c>
    </row>
    <row r="62">
      <c r="A62" s="11" t="inlineStr">
        <is>
          <t>DG-Taro</t>
        </is>
      </c>
    </row>
    <row r="63">
      <c r="A63" s="11" t="inlineStr">
        <is>
          <t>DG-Taro-L</t>
        </is>
      </c>
    </row>
    <row r="64">
      <c r="A64" s="11" t="inlineStr">
        <is>
          <t>DG-Tosca</t>
        </is>
      </c>
    </row>
    <row r="65">
      <c r="A65" s="11" t="inlineStr">
        <is>
          <t>DG-Tosca-L</t>
        </is>
      </c>
    </row>
    <row r="66">
      <c r="A66" s="11" t="inlineStr">
        <is>
          <t>DG-Turkish</t>
        </is>
      </c>
    </row>
    <row r="67">
      <c r="A67" s="11" t="inlineStr">
        <is>
          <t>DG-Turkish-L</t>
        </is>
      </c>
    </row>
    <row r="68">
      <c r="A68" s="11" t="inlineStr">
        <is>
          <t>H.PM-Almond-L</t>
        </is>
      </c>
    </row>
    <row r="69">
      <c r="A69" s="11" t="inlineStr">
        <is>
          <t>H.PM-Almond-M</t>
        </is>
      </c>
    </row>
    <row r="70">
      <c r="A70" s="11" t="inlineStr">
        <is>
          <t>H.PM-Caramel-L</t>
        </is>
      </c>
    </row>
    <row r="71">
      <c r="A71" s="11" t="inlineStr">
        <is>
          <t>H.PM-Caramel-M</t>
        </is>
      </c>
    </row>
    <row r="72" ht="26.45" customHeight="1" s="35">
      <c r="A72" s="11" t="inlineStr">
        <is>
          <t>H.PM-Cocoa Brown-L</t>
        </is>
      </c>
    </row>
    <row r="73" ht="26.45" customHeight="1" s="35">
      <c r="A73" s="11" t="inlineStr">
        <is>
          <t>H.PM-Cocoa Brown-M</t>
        </is>
      </c>
    </row>
    <row r="74">
      <c r="A74" s="11" t="inlineStr">
        <is>
          <t>H.PM-Dark Grey-L</t>
        </is>
      </c>
    </row>
    <row r="75">
      <c r="A75" s="11" t="inlineStr">
        <is>
          <t>H.PM-Dark Grey-M</t>
        </is>
      </c>
    </row>
    <row r="76">
      <c r="A76" s="11" t="inlineStr">
        <is>
          <t>H.PM-Hitam-L</t>
        </is>
      </c>
    </row>
    <row r="77">
      <c r="A77" s="11" t="inlineStr">
        <is>
          <t>H.PM-Hitam-M</t>
        </is>
      </c>
    </row>
    <row r="78">
      <c r="A78" s="11" t="inlineStr">
        <is>
          <t>H.PM-Milky-L</t>
        </is>
      </c>
    </row>
    <row r="79">
      <c r="A79" s="11" t="inlineStr">
        <is>
          <t>H.PM-Milky-M</t>
        </is>
      </c>
    </row>
    <row r="80">
      <c r="A80" s="11" t="inlineStr">
        <is>
          <t>H.PM-Mocca-L</t>
        </is>
      </c>
    </row>
    <row r="81">
      <c r="A81" s="11" t="inlineStr">
        <is>
          <t>H.PM-Mocca-M</t>
        </is>
      </c>
    </row>
    <row r="82">
      <c r="A82" s="11" t="inlineStr">
        <is>
          <t>H.PM-Otter Brown-L</t>
        </is>
      </c>
    </row>
    <row r="83" ht="25.5" customHeight="1" s="35">
      <c r="A83" s="11" t="inlineStr">
        <is>
          <t>H.PM-Otter Brown-M</t>
        </is>
      </c>
    </row>
    <row r="84">
      <c r="A84" s="11" t="inlineStr">
        <is>
          <t>H.PM-Smoke-L</t>
        </is>
      </c>
    </row>
    <row r="85">
      <c r="A85" s="11" t="inlineStr">
        <is>
          <t>H.PM-Smoke-M</t>
        </is>
      </c>
    </row>
    <row r="86">
      <c r="A86" s="11" t="inlineStr">
        <is>
          <t>HM-LA-Abu muda</t>
        </is>
      </c>
    </row>
    <row r="87">
      <c r="A87" s="11" t="inlineStr">
        <is>
          <t>HM-LA-Abu tua</t>
        </is>
      </c>
    </row>
    <row r="88" ht="26.45" customHeight="1" s="35">
      <c r="A88" s="11" t="inlineStr">
        <is>
          <t>HM-LA-Choco Mocca</t>
        </is>
      </c>
    </row>
    <row r="89">
      <c r="A89" s="11" t="inlineStr">
        <is>
          <t>HM-LA-Coksu</t>
        </is>
      </c>
    </row>
    <row r="90">
      <c r="A90" s="11" t="inlineStr">
        <is>
          <t>HM-LA-Cream</t>
        </is>
      </c>
    </row>
    <row r="91">
      <c r="A91" s="11" t="inlineStr">
        <is>
          <t>HM-LA-Denim</t>
        </is>
      </c>
    </row>
    <row r="92">
      <c r="A92" s="11" t="inlineStr">
        <is>
          <t>HM-LA-Dusty Pink</t>
        </is>
      </c>
    </row>
    <row r="93">
      <c r="A93" s="11" t="inlineStr">
        <is>
          <t>HM-LA-Espresso</t>
        </is>
      </c>
    </row>
    <row r="94">
      <c r="A94" s="11" t="inlineStr">
        <is>
          <t>HM-LA-Frappuccino</t>
        </is>
      </c>
    </row>
    <row r="95">
      <c r="A95" s="11" t="inlineStr">
        <is>
          <t>HM-LA-Hazelnut</t>
        </is>
      </c>
    </row>
    <row r="96">
      <c r="A96" s="11" t="inlineStr">
        <is>
          <t>HM-LA-Hijau army</t>
        </is>
      </c>
    </row>
    <row r="97">
      <c r="A97" s="11" t="inlineStr">
        <is>
          <t>HM-LA-Hijau Botol</t>
        </is>
      </c>
    </row>
    <row r="98">
      <c r="A98" s="11" t="inlineStr">
        <is>
          <t>HM-LA-Hitam</t>
        </is>
      </c>
    </row>
    <row r="99">
      <c r="A99" s="11" t="inlineStr">
        <is>
          <t>HM-LA-Kunyit</t>
        </is>
      </c>
    </row>
    <row r="100">
      <c r="A100" s="11" t="inlineStr">
        <is>
          <t>HM-LA-Lavender</t>
        </is>
      </c>
    </row>
    <row r="101">
      <c r="A101" s="11" t="inlineStr">
        <is>
          <t>HM-LA-Lemon</t>
        </is>
      </c>
    </row>
    <row r="102">
      <c r="A102" s="11" t="inlineStr">
        <is>
          <t>HM-LA-Lilac</t>
        </is>
      </c>
    </row>
    <row r="103">
      <c r="A103" s="11" t="inlineStr">
        <is>
          <t>HM-LA-Marun</t>
        </is>
      </c>
    </row>
    <row r="104">
      <c r="A104" s="11" t="inlineStr">
        <is>
          <t>HM-LA-Navy</t>
        </is>
      </c>
    </row>
    <row r="105">
      <c r="A105" s="11" t="inlineStr">
        <is>
          <t>HM-LA-Putih</t>
        </is>
      </c>
    </row>
    <row r="106">
      <c r="A106" s="11" t="inlineStr">
        <is>
          <t>HM-LA-Sage</t>
        </is>
      </c>
    </row>
    <row r="107">
      <c r="A107" s="11" t="inlineStr">
        <is>
          <t>HM-LA-Terracotta</t>
        </is>
      </c>
    </row>
    <row r="108">
      <c r="A108" s="11" t="inlineStr">
        <is>
          <t>HM-LA-Toska</t>
        </is>
      </c>
    </row>
    <row r="109">
      <c r="A109" s="11" t="inlineStr">
        <is>
          <t>HM-LA-Wardah</t>
        </is>
      </c>
    </row>
    <row r="110">
      <c r="A110" s="11" t="inlineStr">
        <is>
          <t>JSO-Almond</t>
        </is>
      </c>
    </row>
    <row r="111">
      <c r="A111" s="11" t="inlineStr">
        <is>
          <t>JSO-Army</t>
        </is>
      </c>
    </row>
    <row r="112">
      <c r="A112" s="11" t="inlineStr">
        <is>
          <t>JSO-Bata</t>
        </is>
      </c>
    </row>
    <row r="113">
      <c r="A113" s="11" t="inlineStr">
        <is>
          <t>JSO-Beige</t>
        </is>
      </c>
    </row>
    <row r="114">
      <c r="A114" s="11" t="inlineStr">
        <is>
          <t>JSO-Burgundy</t>
        </is>
      </c>
    </row>
    <row r="115">
      <c r="A115" s="11" t="inlineStr">
        <is>
          <t>JSO-Caramel</t>
        </is>
      </c>
    </row>
    <row r="116">
      <c r="A116" s="11" t="inlineStr">
        <is>
          <t>JSO-Choco</t>
        </is>
      </c>
    </row>
    <row r="117">
      <c r="A117" s="11" t="inlineStr">
        <is>
          <t>JSO-Cokelat Tua</t>
        </is>
      </c>
    </row>
    <row r="118">
      <c r="A118" s="11" t="inlineStr">
        <is>
          <t>JSO-Coksu</t>
        </is>
      </c>
    </row>
    <row r="119">
      <c r="A119" s="11" t="inlineStr">
        <is>
          <t>JSO-Cream</t>
        </is>
      </c>
    </row>
    <row r="120">
      <c r="A120" s="11" t="inlineStr">
        <is>
          <t>JSO-Dark Grey</t>
        </is>
      </c>
    </row>
    <row r="121">
      <c r="A121" s="11" t="inlineStr">
        <is>
          <t>JSO-Denim</t>
        </is>
      </c>
    </row>
    <row r="122">
      <c r="A122" s="11" t="inlineStr">
        <is>
          <t>JSO-Dusty Pink</t>
        </is>
      </c>
    </row>
    <row r="123">
      <c r="A123" s="11" t="inlineStr">
        <is>
          <t>JSO-Fossil</t>
        </is>
      </c>
    </row>
    <row r="124">
      <c r="A124" s="11" t="inlineStr">
        <is>
          <t>JSO-Grey</t>
        </is>
      </c>
    </row>
    <row r="125">
      <c r="A125" s="11" t="inlineStr">
        <is>
          <t>JSO-Hazelnut</t>
        </is>
      </c>
    </row>
    <row r="126">
      <c r="A126" s="11" t="inlineStr">
        <is>
          <t>JSO-Hitam</t>
        </is>
      </c>
    </row>
    <row r="127">
      <c r="A127" s="11" t="inlineStr">
        <is>
          <t>JSO-Jotol</t>
        </is>
      </c>
    </row>
    <row r="128">
      <c r="A128" s="11" t="inlineStr">
        <is>
          <t>JSO-Lilac</t>
        </is>
      </c>
    </row>
    <row r="129">
      <c r="A129" s="11" t="inlineStr">
        <is>
          <t>JSO-Lime</t>
        </is>
      </c>
    </row>
    <row r="130">
      <c r="A130" s="11" t="inlineStr">
        <is>
          <t>JSO-Maroon</t>
        </is>
      </c>
    </row>
    <row r="131">
      <c r="A131" s="11" t="inlineStr">
        <is>
          <t>JSO-Moca</t>
        </is>
      </c>
    </row>
    <row r="132">
      <c r="A132" s="11" t="inlineStr">
        <is>
          <t>JSO-Mustard</t>
        </is>
      </c>
    </row>
    <row r="133">
      <c r="A133" s="11" t="inlineStr">
        <is>
          <t>JSO-Navy</t>
        </is>
      </c>
    </row>
    <row r="134">
      <c r="A134" s="11" t="inlineStr">
        <is>
          <t>JSO-Olive</t>
        </is>
      </c>
    </row>
    <row r="135">
      <c r="A135" s="11" t="inlineStr">
        <is>
          <t>JSO-Putih</t>
        </is>
      </c>
    </row>
    <row r="136">
      <c r="A136" s="11" t="inlineStr">
        <is>
          <t>JSO-Putih Tulang</t>
        </is>
      </c>
    </row>
    <row r="137">
      <c r="A137" s="11" t="inlineStr">
        <is>
          <t>JSO-Sage</t>
        </is>
      </c>
    </row>
    <row r="138">
      <c r="A138" s="11" t="inlineStr">
        <is>
          <t>JSO-Smoke</t>
        </is>
      </c>
    </row>
    <row r="139">
      <c r="A139" s="11" t="inlineStr">
        <is>
          <t>JSO-Softpink</t>
        </is>
      </c>
    </row>
    <row r="140">
      <c r="A140" s="11" t="inlineStr">
        <is>
          <t>JSO-Taro</t>
        </is>
      </c>
    </row>
    <row r="141">
      <c r="A141" s="11" t="inlineStr">
        <is>
          <t>JSO-Tosca</t>
        </is>
      </c>
    </row>
    <row r="142">
      <c r="A142" s="11" t="inlineStr">
        <is>
          <t>JSO-Turkish</t>
        </is>
      </c>
    </row>
    <row r="143" ht="26.45" customHeight="1" s="35">
      <c r="A143" s="11" t="inlineStr">
        <is>
          <t>KOREAN-HW-ABU MUDA-L</t>
        </is>
      </c>
    </row>
    <row r="144" ht="26.45" customHeight="1" s="35">
      <c r="A144" s="11" t="inlineStr">
        <is>
          <t>KOREAN-HW-ABU MUDA-XL</t>
        </is>
      </c>
    </row>
    <row r="145" ht="26.45" customHeight="1" s="35">
      <c r="A145" s="11" t="inlineStr">
        <is>
          <t>KOREAN-HW-ABU TUA-L</t>
        </is>
      </c>
    </row>
    <row r="146" ht="26.45" customHeight="1" s="35">
      <c r="A146" s="11" t="inlineStr">
        <is>
          <t>KOREAN-HW-ABU TUA-XL</t>
        </is>
      </c>
    </row>
    <row r="147" ht="26.45" customHeight="1" s="35">
      <c r="A147" s="11" t="inlineStr">
        <is>
          <t>KOREAN-HW-ARMY-L</t>
        </is>
      </c>
    </row>
    <row r="148" ht="26.45" customHeight="1" s="35">
      <c r="A148" s="11" t="inlineStr">
        <is>
          <t>KOREAN-HW-ARMY-XL</t>
        </is>
      </c>
    </row>
    <row r="149" ht="26.45" customHeight="1" s="35">
      <c r="A149" s="11" t="inlineStr">
        <is>
          <t>KOREAN-HW-BATA-L</t>
        </is>
      </c>
    </row>
    <row r="150" ht="26.45" customHeight="1" s="35">
      <c r="A150" s="11" t="inlineStr">
        <is>
          <t>KOREAN-HW-BATA-XL</t>
        </is>
      </c>
    </row>
    <row r="151" ht="26.45" customHeight="1" s="35">
      <c r="A151" s="11" t="inlineStr">
        <is>
          <t>KOREAN-HW-BROKEN WHITE-L</t>
        </is>
      </c>
    </row>
    <row r="152" ht="26.45" customHeight="1" s="35">
      <c r="A152" s="11" t="inlineStr">
        <is>
          <t>KOREAN-HW-BROKEN WHITE-XL</t>
        </is>
      </c>
    </row>
    <row r="153" ht="26.45" customHeight="1" s="35">
      <c r="A153" s="11" t="inlineStr">
        <is>
          <t>KOREAN-HW-BROWN-L</t>
        </is>
      </c>
    </row>
    <row r="154" ht="26.45" customHeight="1" s="35">
      <c r="A154" s="11" t="inlineStr">
        <is>
          <t>KOREAN-HW-BROWN-XL</t>
        </is>
      </c>
    </row>
    <row r="155" ht="26.45" customHeight="1" s="35">
      <c r="A155" s="11" t="inlineStr">
        <is>
          <t>KOREAN-HW-DENIM-L</t>
        </is>
      </c>
    </row>
    <row r="156" ht="26.45" customHeight="1" s="35">
      <c r="A156" s="11" t="inlineStr">
        <is>
          <t>KOREAN-HW-DENIM-XL</t>
        </is>
      </c>
    </row>
    <row r="157" ht="26.45" customHeight="1" s="35">
      <c r="A157" s="11" t="inlineStr">
        <is>
          <t>KOREAN-HW-DUSTY PINK-L</t>
        </is>
      </c>
    </row>
    <row r="158" ht="26.45" customHeight="1" s="35">
      <c r="A158" s="11" t="inlineStr">
        <is>
          <t>KOREAN-HW-DUSTY PINK-XL</t>
        </is>
      </c>
    </row>
    <row r="159" ht="26.45" customHeight="1" s="35">
      <c r="A159" s="11" t="inlineStr">
        <is>
          <t>KOREAN-HW-FANTA-L</t>
        </is>
      </c>
    </row>
    <row r="160" ht="26.45" customHeight="1" s="35">
      <c r="A160" s="11" t="inlineStr">
        <is>
          <t>KOREAN-HW-FANTA-XL</t>
        </is>
      </c>
    </row>
    <row r="161" ht="26.45" customHeight="1" s="35">
      <c r="A161" s="11" t="inlineStr">
        <is>
          <t>KOREAN-HW-HITAM-L</t>
        </is>
      </c>
    </row>
    <row r="162" ht="26.45" customHeight="1" s="35">
      <c r="A162" s="11" t="inlineStr">
        <is>
          <t>KOREAN-HW-HITAM-XL</t>
        </is>
      </c>
    </row>
    <row r="163" ht="26.45" customHeight="1" s="35">
      <c r="A163" s="11" t="inlineStr">
        <is>
          <t>KOREAN-HW-KREEM-L</t>
        </is>
      </c>
    </row>
    <row r="164" ht="26.45" customHeight="1" s="35">
      <c r="A164" s="11" t="inlineStr">
        <is>
          <t>KOREAN-HW-KREEM-XL</t>
        </is>
      </c>
    </row>
    <row r="165" ht="26.45" customHeight="1" s="35">
      <c r="A165" s="11" t="inlineStr">
        <is>
          <t>KOREAN-HW-LEMON-L</t>
        </is>
      </c>
    </row>
    <row r="166" ht="26.45" customHeight="1" s="35">
      <c r="A166" s="11" t="inlineStr">
        <is>
          <t>KOREAN-HW-LEMON-XL</t>
        </is>
      </c>
    </row>
    <row r="167" ht="26.45" customHeight="1" s="35">
      <c r="A167" s="11" t="inlineStr">
        <is>
          <t>KOREAN-HW-MARON-L</t>
        </is>
      </c>
    </row>
    <row r="168" ht="26.45" customHeight="1" s="35">
      <c r="A168" s="11" t="inlineStr">
        <is>
          <t>KOREAN-HW-MARON-XL</t>
        </is>
      </c>
    </row>
    <row r="169" ht="26.45" customHeight="1" s="35">
      <c r="A169" s="11" t="inlineStr">
        <is>
          <t>KOREAN-HW-MINT-L</t>
        </is>
      </c>
    </row>
    <row r="170" ht="26.45" customHeight="1" s="35">
      <c r="A170" s="11" t="inlineStr">
        <is>
          <t>KOREAN-HW-MINT-XL</t>
        </is>
      </c>
    </row>
    <row r="171" ht="26.45" customHeight="1" s="35">
      <c r="A171" s="11" t="inlineStr">
        <is>
          <t>KOREAN-HW-MOCCA-L</t>
        </is>
      </c>
    </row>
    <row r="172" ht="26.45" customHeight="1" s="35">
      <c r="A172" s="11" t="inlineStr">
        <is>
          <t>KOREAN-HW-MOCCA-XL</t>
        </is>
      </c>
    </row>
    <row r="173" ht="26.45" customHeight="1" s="35">
      <c r="A173" s="11" t="inlineStr">
        <is>
          <t>KOREAN-HW-MUSTARD-L</t>
        </is>
      </c>
    </row>
    <row r="174" ht="26.45" customHeight="1" s="35">
      <c r="A174" s="11" t="inlineStr">
        <is>
          <t>KOREAN-HW-MUSTARD-XL</t>
        </is>
      </c>
    </row>
    <row r="175" ht="26.45" customHeight="1" s="35">
      <c r="A175" s="11" t="inlineStr">
        <is>
          <t>KOREAN-HW-NAVY-L</t>
        </is>
      </c>
    </row>
    <row r="176" ht="26.45" customHeight="1" s="35">
      <c r="A176" s="11" t="inlineStr">
        <is>
          <t>KOREAN-HW-NAVY-XL</t>
        </is>
      </c>
    </row>
    <row r="177" ht="26.45" customHeight="1" s="35">
      <c r="A177" s="11" t="inlineStr">
        <is>
          <t>KOREAN-HW-PURPLE-L</t>
        </is>
      </c>
    </row>
    <row r="178" ht="26.45" customHeight="1" s="35">
      <c r="A178" s="11" t="inlineStr">
        <is>
          <t>KOREAN-HW-PURPLE-XL</t>
        </is>
      </c>
    </row>
    <row r="179" ht="26.45" customHeight="1" s="35">
      <c r="A179" s="11" t="inlineStr">
        <is>
          <t>KOREAN-HW-SAGE-L</t>
        </is>
      </c>
    </row>
    <row r="180" ht="26.45" customHeight="1" s="35">
      <c r="A180" s="11" t="inlineStr">
        <is>
          <t>KOREAN-HW-SAGE-XL</t>
        </is>
      </c>
    </row>
    <row r="181" ht="26.45" customHeight="1" s="35">
      <c r="A181" s="11" t="inlineStr">
        <is>
          <t>KOREAN-HW-SMOKE-L</t>
        </is>
      </c>
    </row>
    <row r="182" ht="26.45" customHeight="1" s="35">
      <c r="A182" s="11" t="inlineStr">
        <is>
          <t>KOREAN-HW-SMOKE-XL</t>
        </is>
      </c>
    </row>
    <row r="183">
      <c r="A183" s="11" t="inlineStr">
        <is>
          <t>Labubu-Dark Grey</t>
        </is>
      </c>
    </row>
    <row r="184">
      <c r="A184" s="11" t="inlineStr">
        <is>
          <t>Labubu-Denim</t>
        </is>
      </c>
    </row>
    <row r="185">
      <c r="A185" s="11" t="inlineStr">
        <is>
          <t>Labubu-Grey</t>
        </is>
      </c>
    </row>
    <row r="186">
      <c r="A186" s="11" t="inlineStr">
        <is>
          <t>Labubu-Hazel</t>
        </is>
      </c>
    </row>
    <row r="187">
      <c r="A187" s="11" t="inlineStr">
        <is>
          <t>Labubu-Hitam</t>
        </is>
      </c>
    </row>
    <row r="188">
      <c r="A188" s="11" t="inlineStr">
        <is>
          <t>Labubu-liac</t>
        </is>
      </c>
    </row>
    <row r="189">
      <c r="A189" s="11" t="inlineStr">
        <is>
          <t>Labubu-Lime</t>
        </is>
      </c>
    </row>
    <row r="190">
      <c r="A190" s="11" t="inlineStr">
        <is>
          <t>Labubu-Marun</t>
        </is>
      </c>
    </row>
    <row r="191">
      <c r="A191" s="11" t="inlineStr">
        <is>
          <t>Labubu-Moca</t>
        </is>
      </c>
    </row>
    <row r="192">
      <c r="A192" s="11" t="inlineStr">
        <is>
          <t>Labubu-Mustard</t>
        </is>
      </c>
    </row>
    <row r="193">
      <c r="A193" s="11" t="inlineStr">
        <is>
          <t>Labubu-Navy</t>
        </is>
      </c>
    </row>
    <row r="194">
      <c r="A194" s="11" t="inlineStr">
        <is>
          <t>Labubu-Otter Brown</t>
        </is>
      </c>
    </row>
    <row r="195">
      <c r="A195" s="11" t="inlineStr">
        <is>
          <t>Labubu-Pink</t>
        </is>
      </c>
    </row>
    <row r="196">
      <c r="A196" s="11" t="inlineStr">
        <is>
          <t>Labubu-Putih</t>
        </is>
      </c>
    </row>
    <row r="197">
      <c r="A197" s="11" t="inlineStr">
        <is>
          <t>Labubu-Sage</t>
        </is>
      </c>
    </row>
    <row r="198">
      <c r="A198" s="11" t="inlineStr">
        <is>
          <t>Labubu-Smoke</t>
        </is>
      </c>
    </row>
    <row r="199">
      <c r="A199" s="11" t="inlineStr">
        <is>
          <t>Labubu-Softpink</t>
        </is>
      </c>
    </row>
    <row r="200">
      <c r="A200" s="11" t="inlineStr">
        <is>
          <t>Labubu-Taro</t>
        </is>
      </c>
    </row>
    <row r="201">
      <c r="A201" s="11" t="inlineStr">
        <is>
          <t>Labubu-Turkish</t>
        </is>
      </c>
    </row>
    <row r="202">
      <c r="A202" s="11" t="inlineStr">
        <is>
          <t>Marissa-Beige</t>
        </is>
      </c>
    </row>
    <row r="203">
      <c r="A203" s="11" t="inlineStr">
        <is>
          <t>Marissa-Dark Grey</t>
        </is>
      </c>
    </row>
    <row r="204">
      <c r="A204" s="11" t="inlineStr">
        <is>
          <t>Marissa-Grey</t>
        </is>
      </c>
    </row>
    <row r="205">
      <c r="A205" s="11" t="inlineStr">
        <is>
          <t>Marissa-Hazel</t>
        </is>
      </c>
    </row>
    <row r="206">
      <c r="A206" s="11" t="inlineStr">
        <is>
          <t>Marissa-Hitam</t>
        </is>
      </c>
    </row>
    <row r="207">
      <c r="A207" s="11" t="inlineStr">
        <is>
          <t>Marissa-Marun</t>
        </is>
      </c>
    </row>
    <row r="208">
      <c r="A208" s="11" t="inlineStr">
        <is>
          <t>Marissa-Navy</t>
        </is>
      </c>
    </row>
    <row r="209">
      <c r="A209" s="11" t="inlineStr">
        <is>
          <t>Marissa-Putih</t>
        </is>
      </c>
    </row>
    <row r="210">
      <c r="A210" s="11" t="inlineStr">
        <is>
          <t>Marissa-Smoke</t>
        </is>
      </c>
    </row>
    <row r="211">
      <c r="A211" s="11" t="inlineStr">
        <is>
          <t>Marissa-Softpink</t>
        </is>
      </c>
    </row>
    <row r="212">
      <c r="A212" s="11" t="inlineStr">
        <is>
          <t>P-Polos-Almond</t>
        </is>
      </c>
      <c r="B212" s="25" t="n"/>
    </row>
    <row r="213">
      <c r="A213" s="11" t="inlineStr">
        <is>
          <t>P-Polos-Army</t>
        </is>
      </c>
      <c r="B213" s="25" t="n"/>
    </row>
    <row r="214">
      <c r="A214" s="11" t="inlineStr">
        <is>
          <t>P-Polos-Bata</t>
        </is>
      </c>
      <c r="B214" s="25" t="n"/>
    </row>
    <row r="215">
      <c r="A215" s="11" t="inlineStr">
        <is>
          <t>P-Polos-Beige</t>
        </is>
      </c>
      <c r="B215" s="25" t="n"/>
    </row>
    <row r="216">
      <c r="A216" s="11" t="inlineStr">
        <is>
          <t>P-Polos-Burgundy</t>
        </is>
      </c>
      <c r="B216" s="25" t="n"/>
    </row>
    <row r="217">
      <c r="A217" s="11" t="inlineStr">
        <is>
          <t>P-Polos-Caramel</t>
        </is>
      </c>
      <c r="B217" s="25" t="n"/>
    </row>
    <row r="218">
      <c r="A218" s="11" t="inlineStr">
        <is>
          <t>P-Polos-Choco</t>
        </is>
      </c>
      <c r="B218" s="25" t="n"/>
    </row>
    <row r="219" ht="25.5" customHeight="1" s="35">
      <c r="A219" s="11" t="inlineStr">
        <is>
          <t>P-Polos-Cokelat Tua</t>
        </is>
      </c>
      <c r="B219" s="25" t="n"/>
    </row>
    <row r="220">
      <c r="A220" s="11" t="inlineStr">
        <is>
          <t>P-Polos-Coksu</t>
        </is>
      </c>
      <c r="B220" s="25" t="n"/>
    </row>
    <row r="221">
      <c r="A221" s="11" t="inlineStr">
        <is>
          <t>P-Polos-Cream</t>
        </is>
      </c>
      <c r="B221" s="25" t="n"/>
    </row>
    <row r="222">
      <c r="A222" s="11" t="inlineStr">
        <is>
          <t>P-Polos-Dark Grey</t>
        </is>
      </c>
      <c r="B222" s="25" t="n"/>
    </row>
    <row r="223">
      <c r="A223" s="11" t="inlineStr">
        <is>
          <t>P-Polos-Denim</t>
        </is>
      </c>
      <c r="B223" s="25" t="n"/>
    </row>
    <row r="224">
      <c r="A224" s="11" t="inlineStr">
        <is>
          <t>P-Polos-Dusty Pink</t>
        </is>
      </c>
      <c r="B224" s="25" t="n"/>
    </row>
    <row r="225">
      <c r="A225" s="11" t="inlineStr">
        <is>
          <t>P-Polos-Grey</t>
        </is>
      </c>
      <c r="B225" s="25" t="n"/>
    </row>
    <row r="226">
      <c r="A226" s="11" t="inlineStr">
        <is>
          <t>P-Polos-Hazelnut</t>
        </is>
      </c>
      <c r="B226" s="25" t="n"/>
    </row>
    <row r="227">
      <c r="A227" s="11" t="inlineStr">
        <is>
          <t>P-Polos-Hitam</t>
        </is>
      </c>
      <c r="B227" s="25" t="n"/>
    </row>
    <row r="228">
      <c r="A228" s="11" t="inlineStr">
        <is>
          <t>P-Polos-Jotol</t>
        </is>
      </c>
      <c r="B228" s="25" t="n"/>
    </row>
    <row r="229">
      <c r="A229" s="11" t="inlineStr">
        <is>
          <t>P-Polos-Lemon</t>
        </is>
      </c>
      <c r="B229" s="25" t="n"/>
    </row>
    <row r="230">
      <c r="A230" s="11" t="inlineStr">
        <is>
          <t>P-Polos-Lime</t>
        </is>
      </c>
      <c r="B230" s="25" t="n"/>
    </row>
    <row r="231">
      <c r="A231" s="11" t="inlineStr">
        <is>
          <t>P-Polos-Maroon</t>
        </is>
      </c>
      <c r="B231" s="25" t="n"/>
    </row>
    <row r="232">
      <c r="A232" s="11" t="inlineStr">
        <is>
          <t>P-Polos-Moca</t>
        </is>
      </c>
      <c r="B232" s="25" t="n"/>
    </row>
    <row r="233">
      <c r="A233" s="11" t="inlineStr">
        <is>
          <t>P-Polos-Mustard</t>
        </is>
      </c>
      <c r="B233" s="25" t="n"/>
    </row>
    <row r="234">
      <c r="A234" s="11" t="inlineStr">
        <is>
          <t>P-Polos-Navy</t>
        </is>
      </c>
      <c r="B234" s="25" t="n"/>
    </row>
    <row r="235">
      <c r="A235" s="11" t="inlineStr">
        <is>
          <t>P-Polos-Olive</t>
        </is>
      </c>
      <c r="B235" s="25" t="n"/>
    </row>
    <row r="236">
      <c r="A236" s="11" t="inlineStr">
        <is>
          <t>P-Polos-Putih</t>
        </is>
      </c>
      <c r="B236" s="25" t="n"/>
    </row>
    <row r="237" ht="26.45" customHeight="1" s="35">
      <c r="A237" s="11" t="inlineStr">
        <is>
          <t>P-Polos-Putih Tulang</t>
        </is>
      </c>
      <c r="B237" s="25" t="n"/>
    </row>
    <row r="238">
      <c r="A238" s="11" t="inlineStr">
        <is>
          <t>P-Polos-Smoke</t>
        </is>
      </c>
      <c r="B238" s="25" t="n"/>
    </row>
    <row r="239">
      <c r="A239" s="11" t="inlineStr">
        <is>
          <t>P-Polos-Softpink</t>
        </is>
      </c>
      <c r="B239" s="25" t="n"/>
    </row>
    <row r="240">
      <c r="A240" s="11" t="inlineStr">
        <is>
          <t>P-Polos-Taro</t>
        </is>
      </c>
      <c r="B240" s="25" t="n"/>
    </row>
    <row r="241">
      <c r="A241" s="11" t="inlineStr">
        <is>
          <t>P-Polos-Tosca</t>
        </is>
      </c>
      <c r="B241" s="25" t="n"/>
    </row>
    <row r="242">
      <c r="A242" s="11" t="inlineStr">
        <is>
          <t>P-Polos-Turkish</t>
        </is>
      </c>
      <c r="B242" s="25" t="n"/>
    </row>
    <row r="243">
      <c r="A243" s="11" t="inlineStr">
        <is>
          <t>P.Oval-2in1-Army</t>
        </is>
      </c>
      <c r="B243" s="25" t="n"/>
    </row>
    <row r="244">
      <c r="A244" s="11" t="inlineStr">
        <is>
          <t>P.Oval-2in1-Bata</t>
        </is>
      </c>
      <c r="B244" s="25" t="n"/>
    </row>
    <row r="245">
      <c r="A245" s="11" t="inlineStr">
        <is>
          <t>P.Oval-2in1-Beige</t>
        </is>
      </c>
      <c r="B245" s="25" t="n"/>
    </row>
    <row r="246">
      <c r="A246" s="11" t="inlineStr">
        <is>
          <t>P.Oval-2in1-Choco</t>
        </is>
      </c>
      <c r="B246" s="25" t="n"/>
    </row>
    <row r="247" ht="26.45" customHeight="1" s="35">
      <c r="A247" s="11" t="inlineStr">
        <is>
          <t>P.Oval-2in1-Cokelat Tua</t>
        </is>
      </c>
      <c r="B247" s="25" t="n"/>
    </row>
    <row r="248" ht="26.45" customHeight="1" s="35">
      <c r="A248" s="11" t="inlineStr">
        <is>
          <t>P.Oval-2in1-Dark Grey</t>
        </is>
      </c>
      <c r="B248" s="25" t="n"/>
    </row>
    <row r="249">
      <c r="A249" s="11" t="inlineStr">
        <is>
          <t>P.Oval-2in1-Denim</t>
        </is>
      </c>
      <c r="B249" s="25" t="n"/>
    </row>
    <row r="250" ht="26.45" customHeight="1" s="35">
      <c r="A250" s="11" t="inlineStr">
        <is>
          <t>P.Oval-2in1-Dusty Pink</t>
        </is>
      </c>
      <c r="B250" s="25" t="n"/>
    </row>
    <row r="251">
      <c r="A251" s="11" t="inlineStr">
        <is>
          <t>P.Oval-2in1-Grey</t>
        </is>
      </c>
      <c r="B251" s="25" t="n"/>
    </row>
    <row r="252" ht="25.5" customHeight="1" s="35">
      <c r="A252" s="11" t="inlineStr">
        <is>
          <t>P.Oval-2in1-Hazelnut</t>
        </is>
      </c>
      <c r="B252" s="25" t="n"/>
    </row>
    <row r="253" ht="26.45" customHeight="1" s="35">
      <c r="A253" s="11" t="inlineStr">
        <is>
          <t>P.Oval-2in1-Hijau Botol</t>
        </is>
      </c>
      <c r="B253" s="25" t="n"/>
    </row>
    <row r="254">
      <c r="A254" s="11" t="inlineStr">
        <is>
          <t>P.Oval-2in1-Hitam</t>
        </is>
      </c>
      <c r="B254" s="25" t="n"/>
    </row>
    <row r="255">
      <c r="A255" s="11" t="inlineStr">
        <is>
          <t>P.Oval-2in1-Lilac</t>
        </is>
      </c>
      <c r="B255" s="25" t="n"/>
    </row>
    <row r="256">
      <c r="A256" s="11" t="inlineStr">
        <is>
          <t>P.Oval-2in1-Lime</t>
        </is>
      </c>
      <c r="B256" s="25" t="n"/>
    </row>
    <row r="257">
      <c r="A257" s="11" t="inlineStr">
        <is>
          <t>P.Oval-2in1-Marun</t>
        </is>
      </c>
      <c r="B257" s="25" t="n"/>
    </row>
    <row r="258">
      <c r="A258" s="11" t="inlineStr">
        <is>
          <t>P.Oval-2in1-Moca</t>
        </is>
      </c>
      <c r="B258" s="25" t="n"/>
    </row>
    <row r="259">
      <c r="A259" s="11" t="inlineStr">
        <is>
          <t>P.Oval-2in1-Mustard</t>
        </is>
      </c>
      <c r="B259" s="25" t="n"/>
    </row>
    <row r="260">
      <c r="A260" s="11" t="inlineStr">
        <is>
          <t>P.Oval-2in1-Navy</t>
        </is>
      </c>
      <c r="B260" s="25" t="n"/>
    </row>
    <row r="261" ht="26.45" customHeight="1" s="35">
      <c r="A261" s="11" t="inlineStr">
        <is>
          <t>P.Oval-2in1-PM-Almond</t>
        </is>
      </c>
      <c r="B261" s="25" t="n"/>
    </row>
    <row r="262" ht="26.45" customHeight="1" s="35">
      <c r="A262" s="11" t="inlineStr">
        <is>
          <t>P.Oval-2in1-PM-Caramel</t>
        </is>
      </c>
      <c r="B262" s="25" t="n"/>
    </row>
    <row r="263" ht="26.45" customHeight="1" s="35">
      <c r="A263" s="11" t="inlineStr">
        <is>
          <t>P.Oval-2in1-PM-Dark Grey</t>
        </is>
      </c>
      <c r="B263" s="25" t="n"/>
    </row>
    <row r="264" ht="26.45" customHeight="1" s="35">
      <c r="A264" s="11" t="inlineStr">
        <is>
          <t>P.Oval-2in1-PM-Espresso</t>
        </is>
      </c>
      <c r="B264" s="25" t="n"/>
    </row>
    <row r="265" ht="26.45" customHeight="1" s="35">
      <c r="A265" s="11" t="inlineStr">
        <is>
          <t>P.Oval-2in1-PM-Fossil</t>
        </is>
      </c>
      <c r="B265" s="25" t="n"/>
    </row>
    <row r="266" ht="26.45" customHeight="1" s="35">
      <c r="A266" s="11" t="inlineStr">
        <is>
          <t>P.Oval-2in1-PM-Hitam</t>
        </is>
      </c>
      <c r="B266" s="25" t="n"/>
    </row>
    <row r="267" ht="26.45" customHeight="1" s="35">
      <c r="A267" s="11" t="inlineStr">
        <is>
          <t>P.Oval-2in1-PM-Milky</t>
        </is>
      </c>
      <c r="B267" s="25" t="n"/>
    </row>
    <row r="268" ht="26.45" customHeight="1" s="35">
      <c r="A268" s="11" t="inlineStr">
        <is>
          <t>P.Oval-2in1-PM-Mocca</t>
        </is>
      </c>
      <c r="B268" s="25" t="n"/>
    </row>
    <row r="269" ht="26.45" customHeight="1" s="35">
      <c r="A269" s="11" t="inlineStr">
        <is>
          <t>P.Oval-2in1-PM-Otter Brown</t>
        </is>
      </c>
      <c r="B269" s="25" t="n"/>
    </row>
    <row r="270" ht="26.45" customHeight="1" s="35">
      <c r="A270" s="11" t="inlineStr">
        <is>
          <t>P.Oval-2in1-PM-Smoke</t>
        </is>
      </c>
      <c r="B270" s="25" t="n"/>
    </row>
    <row r="271">
      <c r="A271" s="11" t="inlineStr">
        <is>
          <t>P.Oval-2in1-Putih</t>
        </is>
      </c>
      <c r="B271" s="25" t="n"/>
    </row>
    <row r="272" ht="26.45" customHeight="1" s="35">
      <c r="A272" s="11" t="inlineStr">
        <is>
          <t>P.Oval-2in1-Putih Tulang</t>
        </is>
      </c>
      <c r="B272" s="25" t="n"/>
    </row>
    <row r="273">
      <c r="A273" s="11" t="inlineStr">
        <is>
          <t>P.Oval-2in1-Sage</t>
        </is>
      </c>
      <c r="B273" s="25" t="n"/>
    </row>
    <row r="274">
      <c r="A274" s="11" t="inlineStr">
        <is>
          <t>P.Oval-2in1-Smoke</t>
        </is>
      </c>
      <c r="B274" s="25" t="n"/>
    </row>
    <row r="275">
      <c r="A275" s="11" t="inlineStr">
        <is>
          <t>P.Oval-2in1-Softpink</t>
        </is>
      </c>
      <c r="B275" s="25" t="n"/>
    </row>
    <row r="276">
      <c r="A276" s="11" t="inlineStr">
        <is>
          <t>P.Oval-2in1-Taro</t>
        </is>
      </c>
      <c r="B276" s="25" t="n"/>
    </row>
    <row r="277">
      <c r="A277" s="11" t="inlineStr">
        <is>
          <t>P.Oval-2in1-Tosca</t>
        </is>
      </c>
      <c r="B277" s="25" t="n"/>
    </row>
    <row r="278">
      <c r="A278" s="11" t="inlineStr">
        <is>
          <t>P.Oval-2in1-Turkish</t>
        </is>
      </c>
      <c r="B278" s="25" t="n"/>
    </row>
    <row r="279">
      <c r="A279" s="11" t="inlineStr">
        <is>
          <t>P.Polos-Anak-Army</t>
        </is>
      </c>
      <c r="B279" s="25" t="n"/>
    </row>
    <row r="280">
      <c r="A280" s="11" t="inlineStr">
        <is>
          <t>P.Polos-Anak-Bata</t>
        </is>
      </c>
      <c r="B280" s="25" t="n"/>
    </row>
    <row r="281">
      <c r="A281" s="11" t="inlineStr">
        <is>
          <t>P.Polos-Anak-Beige</t>
        </is>
      </c>
      <c r="B281" s="25" t="n"/>
    </row>
    <row r="282">
      <c r="A282" s="11" t="inlineStr">
        <is>
          <t>P.Polos-Anak-BW</t>
        </is>
      </c>
      <c r="B282" s="25" t="n"/>
    </row>
    <row r="283" ht="26.45" customHeight="1" s="35">
      <c r="A283" s="11" t="inlineStr">
        <is>
          <t>P.Polos-Anak-Choco</t>
        </is>
      </c>
      <c r="B283" s="25" t="n"/>
    </row>
    <row r="284" ht="26.45" customHeight="1" s="35">
      <c r="A284" s="11" t="inlineStr">
        <is>
          <t>P.Polos-Anak-Dark Grey</t>
        </is>
      </c>
      <c r="B284" s="25" t="n"/>
    </row>
    <row r="285" ht="25.5" customHeight="1" s="35">
      <c r="A285" s="11" t="inlineStr">
        <is>
          <t>P.Polos-Anak-Denim</t>
        </is>
      </c>
      <c r="B285" s="25" t="n"/>
    </row>
    <row r="286">
      <c r="A286" s="11" t="inlineStr">
        <is>
          <t>P.Polos-Anak-Grey</t>
        </is>
      </c>
      <c r="B286" s="25" t="n"/>
    </row>
    <row r="287" ht="26.45" customHeight="1" s="35">
      <c r="A287" s="11" t="inlineStr">
        <is>
          <t>P.Polos-Anak-Hazelnut</t>
        </is>
      </c>
      <c r="B287" s="25" t="n"/>
    </row>
    <row r="288">
      <c r="A288" s="11" t="inlineStr">
        <is>
          <t>P.Polos-Anak-Hitam</t>
        </is>
      </c>
      <c r="B288" s="25" t="n"/>
    </row>
    <row r="289">
      <c r="A289" s="11" t="inlineStr">
        <is>
          <t>P.Polos-Anak-Jotol</t>
        </is>
      </c>
      <c r="B289" s="25" t="n"/>
    </row>
    <row r="290">
      <c r="A290" s="11" t="inlineStr">
        <is>
          <t>P.Polos-Anak-Lilac</t>
        </is>
      </c>
      <c r="B290" s="25" t="n"/>
    </row>
    <row r="291">
      <c r="A291" s="11" t="inlineStr">
        <is>
          <t>P.Polos-Anak-Lime</t>
        </is>
      </c>
      <c r="B291" s="25" t="n"/>
    </row>
    <row r="292" ht="25.5" customHeight="1" s="35">
      <c r="A292" s="11" t="inlineStr">
        <is>
          <t>P.Polos-Anak-Marun</t>
        </is>
      </c>
      <c r="B292" s="25" t="n"/>
    </row>
    <row r="293">
      <c r="A293" s="11" t="inlineStr">
        <is>
          <t>P.Polos-Anak-Moca</t>
        </is>
      </c>
      <c r="B293" s="25" t="n"/>
    </row>
    <row r="294" ht="26.45" customHeight="1" s="35">
      <c r="A294" s="11" t="inlineStr">
        <is>
          <t>P.Polos-Anak-Mustard</t>
        </is>
      </c>
      <c r="B294" s="25" t="n"/>
    </row>
    <row r="295">
      <c r="A295" s="11" t="inlineStr">
        <is>
          <t>P.Polos-Anak-Navy</t>
        </is>
      </c>
      <c r="B295" s="25" t="n"/>
    </row>
    <row r="296" ht="26.45" customHeight="1" s="35">
      <c r="A296" s="11" t="inlineStr">
        <is>
          <t>P.Polos-Anak-Otter Brown</t>
        </is>
      </c>
      <c r="B296" s="25" t="n"/>
    </row>
    <row r="297">
      <c r="A297" s="11" t="inlineStr">
        <is>
          <t>P.Polos-Anak-Pink</t>
        </is>
      </c>
      <c r="B297" s="25" t="n"/>
    </row>
    <row r="298">
      <c r="A298" s="11" t="inlineStr">
        <is>
          <t>P.Polos-Anak-Putih</t>
        </is>
      </c>
      <c r="B298" s="25" t="n"/>
    </row>
    <row r="299">
      <c r="A299" s="11" t="inlineStr">
        <is>
          <t>P.Polos-Anak-Sage</t>
        </is>
      </c>
      <c r="B299" s="25" t="n"/>
    </row>
    <row r="300" ht="26.45" customHeight="1" s="35">
      <c r="A300" s="11" t="inlineStr">
        <is>
          <t>P.Polos-Anak-Smoke</t>
        </is>
      </c>
      <c r="B300" s="25" t="n"/>
    </row>
    <row r="301" ht="26.45" customHeight="1" s="35">
      <c r="A301" s="11" t="inlineStr">
        <is>
          <t>P.Polos-Anak-Softpink</t>
        </is>
      </c>
      <c r="B301" s="25" t="n"/>
    </row>
    <row r="302">
      <c r="A302" s="11" t="inlineStr">
        <is>
          <t>P.Polos-Anak-Taro</t>
        </is>
      </c>
      <c r="B302" s="25" t="n"/>
    </row>
    <row r="303" ht="26.45" customHeight="1" s="35">
      <c r="A303" s="11" t="inlineStr">
        <is>
          <t>P.Polos-Anak-Turkish</t>
        </is>
      </c>
      <c r="B303" s="25" t="n"/>
    </row>
    <row r="304">
      <c r="A304" s="11" t="inlineStr">
        <is>
          <t>S3-Almond</t>
        </is>
      </c>
      <c r="B304" s="25" t="n"/>
    </row>
    <row r="305">
      <c r="A305" s="11" t="inlineStr">
        <is>
          <t>S3-ARMY</t>
        </is>
      </c>
      <c r="B305" s="25" t="n"/>
    </row>
    <row r="306">
      <c r="A306" s="11" t="inlineStr">
        <is>
          <t>S3-BATA</t>
        </is>
      </c>
      <c r="B306" s="25" t="n"/>
    </row>
    <row r="307">
      <c r="A307" s="11" t="inlineStr">
        <is>
          <t>S3-BEIGE</t>
        </is>
      </c>
      <c r="B307" s="25" t="n"/>
    </row>
    <row r="308">
      <c r="A308" s="11" t="inlineStr">
        <is>
          <t>S3-Burgundy</t>
        </is>
      </c>
      <c r="B308" s="25" t="n"/>
    </row>
    <row r="309">
      <c r="A309" s="11" t="inlineStr">
        <is>
          <t>S3-BW</t>
        </is>
      </c>
      <c r="B309" s="25" t="n"/>
    </row>
    <row r="310">
      <c r="A310" s="11" t="inlineStr">
        <is>
          <t>S3-Caramel</t>
        </is>
      </c>
      <c r="B310" s="25" t="n"/>
    </row>
    <row r="311">
      <c r="A311" s="11" t="inlineStr">
        <is>
          <t>S3-CHOCO</t>
        </is>
      </c>
      <c r="B311" s="25" t="n"/>
    </row>
    <row r="312">
      <c r="A312" s="11" t="inlineStr">
        <is>
          <t>S3-Cokelat Tua</t>
        </is>
      </c>
      <c r="B312" s="25" t="n"/>
    </row>
    <row r="313">
      <c r="A313" s="11" t="inlineStr">
        <is>
          <t>S3-Coksu</t>
        </is>
      </c>
      <c r="B313" s="25" t="n"/>
    </row>
    <row r="314">
      <c r="A314" s="11" t="inlineStr">
        <is>
          <t>S3-Cream</t>
        </is>
      </c>
      <c r="B314" s="25" t="n"/>
    </row>
    <row r="315">
      <c r="A315" s="11" t="inlineStr">
        <is>
          <t>S3-DARK GREY</t>
        </is>
      </c>
      <c r="B315" s="25" t="n"/>
    </row>
    <row r="316">
      <c r="A316" s="11" t="inlineStr">
        <is>
          <t>S3-DENIM</t>
        </is>
      </c>
      <c r="B316" s="25" t="n"/>
    </row>
    <row r="317">
      <c r="A317" s="11" t="inlineStr">
        <is>
          <t>S3-GREY</t>
        </is>
      </c>
      <c r="B317" s="25" t="n"/>
    </row>
    <row r="318">
      <c r="A318" s="11" t="inlineStr">
        <is>
          <t>S3-HAZELNUT</t>
        </is>
      </c>
      <c r="B318" s="25" t="n"/>
    </row>
    <row r="319">
      <c r="A319" s="11" t="inlineStr">
        <is>
          <t>S3-HITAM</t>
        </is>
      </c>
      <c r="B319" s="25" t="n"/>
    </row>
    <row r="320">
      <c r="A320" s="11" t="inlineStr">
        <is>
          <t>S3-JOTOL</t>
        </is>
      </c>
      <c r="B320" s="25" t="n"/>
    </row>
    <row r="321">
      <c r="A321" s="11" t="inlineStr">
        <is>
          <t>S3-LEMON</t>
        </is>
      </c>
      <c r="B321" s="25" t="n"/>
    </row>
    <row r="322">
      <c r="A322" s="11" t="inlineStr">
        <is>
          <t>S3-LILAC</t>
        </is>
      </c>
      <c r="B322" s="25" t="n"/>
    </row>
    <row r="323">
      <c r="A323" s="11" t="inlineStr">
        <is>
          <t>S3-MARUN</t>
        </is>
      </c>
      <c r="B323" s="25" t="n"/>
    </row>
    <row r="324">
      <c r="A324" s="11" t="inlineStr">
        <is>
          <t>S3-MOCA</t>
        </is>
      </c>
      <c r="B324" s="25" t="n"/>
    </row>
    <row r="325">
      <c r="A325" s="11" t="inlineStr">
        <is>
          <t>S3-MUSTARD</t>
        </is>
      </c>
      <c r="B325" s="25" t="n"/>
    </row>
    <row r="326">
      <c r="A326" s="11" t="inlineStr">
        <is>
          <t>S3-NAVY</t>
        </is>
      </c>
      <c r="B326" s="25" t="n"/>
    </row>
    <row r="327">
      <c r="A327" s="11" t="inlineStr">
        <is>
          <t>S3-Olive</t>
        </is>
      </c>
      <c r="B327" s="25" t="n"/>
    </row>
    <row r="328">
      <c r="A328" s="11" t="inlineStr">
        <is>
          <t>S3-Otter Brown</t>
        </is>
      </c>
      <c r="B328" s="25" t="n"/>
    </row>
    <row r="329">
      <c r="A329" s="11" t="inlineStr">
        <is>
          <t>S3-PINK</t>
        </is>
      </c>
      <c r="B329" s="25" t="n"/>
    </row>
    <row r="330">
      <c r="A330" s="11" t="inlineStr">
        <is>
          <t>S3-PUTIH</t>
        </is>
      </c>
      <c r="B330" s="25" t="n"/>
    </row>
    <row r="331">
      <c r="A331" s="11" t="inlineStr">
        <is>
          <t>S3-SAGE</t>
        </is>
      </c>
      <c r="B331" s="25" t="n"/>
    </row>
    <row r="332">
      <c r="A332" s="11" t="inlineStr">
        <is>
          <t>S3-SMOKE</t>
        </is>
      </c>
      <c r="B332" s="25" t="n"/>
    </row>
    <row r="333">
      <c r="A333" s="11" t="inlineStr">
        <is>
          <t>S3-SOFTPINK</t>
        </is>
      </c>
      <c r="B333" s="25" t="n"/>
    </row>
    <row r="334">
      <c r="A334" s="11" t="inlineStr">
        <is>
          <t>S3-TARO</t>
        </is>
      </c>
      <c r="B334" s="25" t="n"/>
    </row>
    <row r="335">
      <c r="A335" s="11" t="inlineStr">
        <is>
          <t>S3-TOSCA</t>
        </is>
      </c>
      <c r="B335" s="25" t="n"/>
    </row>
    <row r="336">
      <c r="A336" s="11" t="inlineStr">
        <is>
          <t>S3-TURKISH</t>
        </is>
      </c>
      <c r="B336" s="25" t="n"/>
    </row>
    <row r="337">
      <c r="A337" s="11" t="inlineStr">
        <is>
          <t>SA-Almond-L</t>
        </is>
      </c>
      <c r="B337" s="25" t="n"/>
    </row>
    <row r="338">
      <c r="A338" s="11" t="inlineStr">
        <is>
          <t>SA-Almond-M</t>
        </is>
      </c>
      <c r="B338" s="25" t="n"/>
    </row>
    <row r="339">
      <c r="A339" s="11" t="inlineStr">
        <is>
          <t>SA-Almond-XL</t>
        </is>
      </c>
      <c r="B339" s="25" t="n"/>
    </row>
    <row r="340">
      <c r="A340" s="11" t="inlineStr">
        <is>
          <t>SA-Army-L</t>
        </is>
      </c>
      <c r="B340" s="25" t="n"/>
    </row>
    <row r="341">
      <c r="A341" s="11" t="inlineStr">
        <is>
          <t>SA-Army-M</t>
        </is>
      </c>
      <c r="B341" s="25" t="n"/>
    </row>
    <row r="342">
      <c r="A342" s="11" t="inlineStr">
        <is>
          <t>SA-Army-XL</t>
        </is>
      </c>
      <c r="B342" s="25" t="n"/>
    </row>
    <row r="343">
      <c r="A343" s="11" t="inlineStr">
        <is>
          <t>SA-Bata-L</t>
        </is>
      </c>
      <c r="B343" s="25" t="n"/>
    </row>
    <row r="344">
      <c r="A344" s="11" t="inlineStr">
        <is>
          <t>SA-Bata-M</t>
        </is>
      </c>
      <c r="B344" s="25" t="n"/>
    </row>
    <row r="345">
      <c r="A345" s="11" t="inlineStr">
        <is>
          <t>SA-Bata-XL</t>
        </is>
      </c>
      <c r="B345" s="25" t="n"/>
    </row>
    <row r="346">
      <c r="A346" s="11" t="inlineStr">
        <is>
          <t>SA-Beige-L</t>
        </is>
      </c>
      <c r="B346" s="25" t="n"/>
    </row>
    <row r="347">
      <c r="A347" s="11" t="inlineStr">
        <is>
          <t>SA-Beige-M</t>
        </is>
      </c>
      <c r="B347" s="25" t="n"/>
    </row>
    <row r="348">
      <c r="A348" s="11" t="inlineStr">
        <is>
          <t>SA-Beige-XL</t>
        </is>
      </c>
      <c r="B348" s="25" t="n"/>
    </row>
    <row r="349">
      <c r="A349" s="11" t="inlineStr">
        <is>
          <t>SA-Burgundy-L</t>
        </is>
      </c>
      <c r="B349" s="25" t="n"/>
    </row>
    <row r="350">
      <c r="A350" s="11" t="inlineStr">
        <is>
          <t>SA-Burgundy-M</t>
        </is>
      </c>
      <c r="B350" s="25" t="n"/>
    </row>
    <row r="351">
      <c r="A351" s="11" t="inlineStr">
        <is>
          <t>SA-Burgundy-XL</t>
        </is>
      </c>
      <c r="B351" s="25" t="n"/>
    </row>
    <row r="352">
      <c r="A352" s="11" t="inlineStr">
        <is>
          <t>SA-Caramel-L</t>
        </is>
      </c>
      <c r="B352" s="25" t="n"/>
    </row>
    <row r="353">
      <c r="A353" s="11" t="inlineStr">
        <is>
          <t>SA-Caramel-M</t>
        </is>
      </c>
      <c r="B353" s="25" t="n"/>
    </row>
    <row r="354">
      <c r="A354" s="11" t="inlineStr">
        <is>
          <t>SA-Caramel-XL</t>
        </is>
      </c>
      <c r="B354" s="25" t="n"/>
    </row>
    <row r="355">
      <c r="A355" s="11" t="inlineStr">
        <is>
          <t>SA-Choco-L</t>
        </is>
      </c>
      <c r="B355" s="25" t="n"/>
    </row>
    <row r="356">
      <c r="A356" s="11" t="inlineStr">
        <is>
          <t>SA-Choco-M</t>
        </is>
      </c>
      <c r="B356" s="25" t="n"/>
    </row>
    <row r="357">
      <c r="A357" s="11" t="inlineStr">
        <is>
          <t>SA-Choco-XL</t>
        </is>
      </c>
      <c r="B357" s="25" t="n"/>
    </row>
    <row r="358">
      <c r="A358" s="11" t="inlineStr">
        <is>
          <t>SA-Cokelat Tua-L</t>
        </is>
      </c>
      <c r="B358" s="25" t="n"/>
    </row>
    <row r="359">
      <c r="A359" s="11" t="inlineStr">
        <is>
          <t>SA-Cokelat Tua-M</t>
        </is>
      </c>
      <c r="B359" s="25" t="n"/>
    </row>
    <row r="360">
      <c r="A360" s="11" t="inlineStr">
        <is>
          <t>SA-Cokelat Tua-XL</t>
        </is>
      </c>
      <c r="B360" s="25" t="n"/>
    </row>
    <row r="361">
      <c r="A361" s="11" t="inlineStr">
        <is>
          <t>SA-Coksu-L</t>
        </is>
      </c>
      <c r="B361" s="25" t="n"/>
    </row>
    <row r="362">
      <c r="A362" s="11" t="inlineStr">
        <is>
          <t>SA-Coksu-M</t>
        </is>
      </c>
      <c r="B362" s="25" t="n"/>
    </row>
    <row r="363">
      <c r="A363" s="11" t="inlineStr">
        <is>
          <t>SA-Coksu-XL</t>
        </is>
      </c>
      <c r="B363" s="25" t="n"/>
    </row>
    <row r="364">
      <c r="A364" s="11" t="inlineStr">
        <is>
          <t>SA-Cream-L</t>
        </is>
      </c>
      <c r="B364" s="25" t="n"/>
    </row>
    <row r="365">
      <c r="A365" s="11" t="inlineStr">
        <is>
          <t>SA-Cream-M</t>
        </is>
      </c>
      <c r="B365" s="25" t="n"/>
    </row>
    <row r="366">
      <c r="A366" s="11" t="inlineStr">
        <is>
          <t>SA-Cream-XL</t>
        </is>
      </c>
      <c r="B366" s="25" t="n"/>
    </row>
    <row r="367">
      <c r="A367" s="11" t="inlineStr">
        <is>
          <t>SA-Dark grey-L</t>
        </is>
      </c>
      <c r="B367" s="25" t="n"/>
    </row>
    <row r="368">
      <c r="A368" s="11" t="inlineStr">
        <is>
          <t>SA-Dark grey-M</t>
        </is>
      </c>
      <c r="B368" s="25" t="n"/>
    </row>
    <row r="369">
      <c r="A369" s="11" t="inlineStr">
        <is>
          <t>SA-Dark grey-XL</t>
        </is>
      </c>
      <c r="B369" s="25" t="n"/>
    </row>
    <row r="370">
      <c r="A370" s="11" t="inlineStr">
        <is>
          <t>SA-Denim-L</t>
        </is>
      </c>
      <c r="B370" s="25" t="n"/>
    </row>
    <row r="371">
      <c r="A371" s="11" t="inlineStr">
        <is>
          <t>SA-Denim-M</t>
        </is>
      </c>
      <c r="B371" s="25" t="n"/>
    </row>
    <row r="372">
      <c r="A372" s="11" t="inlineStr">
        <is>
          <t>SA-Denim-XL</t>
        </is>
      </c>
      <c r="B372" s="25" t="n"/>
    </row>
    <row r="373">
      <c r="A373" s="11" t="inlineStr">
        <is>
          <t>SA-Dusty Pink-L</t>
        </is>
      </c>
      <c r="B373" s="25" t="n"/>
    </row>
    <row r="374">
      <c r="A374" s="11" t="inlineStr">
        <is>
          <t>SA-Dusty Pink-M</t>
        </is>
      </c>
      <c r="B374" s="25" t="n"/>
    </row>
    <row r="375">
      <c r="A375" s="11" t="inlineStr">
        <is>
          <t>SA-Dusty Pink-XL</t>
        </is>
      </c>
      <c r="B375" s="25" t="n"/>
    </row>
    <row r="376">
      <c r="A376" s="11" t="inlineStr">
        <is>
          <t>SA-Grey-L</t>
        </is>
      </c>
      <c r="B376" s="25" t="n"/>
    </row>
    <row r="377">
      <c r="A377" s="11" t="inlineStr">
        <is>
          <t>SA-Grey-M</t>
        </is>
      </c>
      <c r="B377" s="25" t="n"/>
    </row>
    <row r="378">
      <c r="A378" s="11" t="inlineStr">
        <is>
          <t>SA-Grey-XL</t>
        </is>
      </c>
      <c r="B378" s="25" t="n"/>
    </row>
    <row r="379">
      <c r="A379" s="11" t="inlineStr">
        <is>
          <t>SA-Hazelnut-L</t>
        </is>
      </c>
      <c r="B379" s="25" t="n"/>
    </row>
    <row r="380">
      <c r="A380" s="11" t="inlineStr">
        <is>
          <t>SA-Hazelnut-M</t>
        </is>
      </c>
      <c r="B380" s="25" t="n"/>
    </row>
    <row r="381">
      <c r="A381" s="11" t="inlineStr">
        <is>
          <t>SA-Hazelnut-XL</t>
        </is>
      </c>
      <c r="B381" s="25" t="n"/>
    </row>
    <row r="382">
      <c r="A382" s="11" t="inlineStr">
        <is>
          <t>SA-Hitam-L</t>
        </is>
      </c>
      <c r="B382" s="25" t="n"/>
    </row>
    <row r="383">
      <c r="A383" s="11" t="inlineStr">
        <is>
          <t>SA-Hitam-M</t>
        </is>
      </c>
      <c r="B383" s="25" t="n"/>
    </row>
    <row r="384">
      <c r="A384" s="11" t="inlineStr">
        <is>
          <t>SA-Hitam-XL</t>
        </is>
      </c>
      <c r="B384" s="25" t="n"/>
    </row>
    <row r="385">
      <c r="A385" s="11" t="inlineStr">
        <is>
          <t>SA-Jotol-L</t>
        </is>
      </c>
      <c r="B385" s="25" t="n"/>
    </row>
    <row r="386">
      <c r="A386" s="11" t="inlineStr">
        <is>
          <t>SA-Jotol-M</t>
        </is>
      </c>
      <c r="B386" s="25" t="n"/>
    </row>
    <row r="387">
      <c r="A387" s="11" t="inlineStr">
        <is>
          <t>SA-Jotol-XL</t>
        </is>
      </c>
      <c r="B387" s="25" t="n"/>
    </row>
    <row r="388">
      <c r="A388" s="11" t="inlineStr">
        <is>
          <t>SA-Lilac-L</t>
        </is>
      </c>
      <c r="B388" s="25" t="n"/>
    </row>
    <row r="389">
      <c r="A389" s="11" t="inlineStr">
        <is>
          <t>SA-Lilac-M</t>
        </is>
      </c>
      <c r="B389" s="25" t="n"/>
    </row>
    <row r="390">
      <c r="A390" s="11" t="inlineStr">
        <is>
          <t>SA-Lilac-XL</t>
        </is>
      </c>
      <c r="B390" s="25" t="n"/>
    </row>
    <row r="391">
      <c r="A391" s="11" t="inlineStr">
        <is>
          <t>SA-Lime-L</t>
        </is>
      </c>
      <c r="B391" s="25" t="n"/>
    </row>
    <row r="392">
      <c r="A392" s="11" t="inlineStr">
        <is>
          <t>SA-Lime-M</t>
        </is>
      </c>
      <c r="B392" s="25" t="n"/>
    </row>
    <row r="393">
      <c r="A393" s="11" t="inlineStr">
        <is>
          <t>SA-Lime-XL</t>
        </is>
      </c>
      <c r="B393" s="25" t="n"/>
    </row>
    <row r="394">
      <c r="A394" s="11" t="inlineStr">
        <is>
          <t>SA-Maroon-L</t>
        </is>
      </c>
      <c r="B394" s="25" t="n"/>
    </row>
    <row r="395">
      <c r="A395" s="11" t="inlineStr">
        <is>
          <t>SA-Maroon-M</t>
        </is>
      </c>
      <c r="B395" s="25" t="n"/>
    </row>
    <row r="396">
      <c r="A396" s="11" t="inlineStr">
        <is>
          <t>SA-Maroon-XL</t>
        </is>
      </c>
      <c r="B396" s="25" t="n"/>
    </row>
    <row r="397">
      <c r="A397" s="11" t="inlineStr">
        <is>
          <t>SA-Moca-L</t>
        </is>
      </c>
      <c r="B397" s="25" t="n"/>
    </row>
    <row r="398">
      <c r="A398" s="11" t="inlineStr">
        <is>
          <t>SA-Moca-M</t>
        </is>
      </c>
      <c r="B398" s="25" t="n"/>
    </row>
    <row r="399">
      <c r="A399" s="11" t="inlineStr">
        <is>
          <t>SA-Moca-XL</t>
        </is>
      </c>
      <c r="B399" s="25" t="n"/>
    </row>
    <row r="400">
      <c r="A400" s="11" t="inlineStr">
        <is>
          <t>SA-Mustard-L</t>
        </is>
      </c>
      <c r="B400" s="25" t="n"/>
    </row>
    <row r="401">
      <c r="A401" s="11" t="inlineStr">
        <is>
          <t>SA-Mustard-M</t>
        </is>
      </c>
      <c r="B401" s="25" t="n"/>
    </row>
    <row r="402">
      <c r="A402" s="11" t="inlineStr">
        <is>
          <t>SA-Mustard-XL</t>
        </is>
      </c>
      <c r="B402" s="25" t="n"/>
    </row>
    <row r="403">
      <c r="A403" s="11" t="inlineStr">
        <is>
          <t>SA-Navy-L</t>
        </is>
      </c>
      <c r="B403" s="25" t="n"/>
    </row>
    <row r="404">
      <c r="A404" s="11" t="inlineStr">
        <is>
          <t>SA-Navy-M</t>
        </is>
      </c>
      <c r="B404" s="25" t="n"/>
    </row>
    <row r="405">
      <c r="A405" s="11" t="inlineStr">
        <is>
          <t>SA-Navy-XL</t>
        </is>
      </c>
      <c r="B405" s="25" t="n"/>
    </row>
    <row r="406">
      <c r="A406" s="11" t="inlineStr">
        <is>
          <t>SA-Olive-L</t>
        </is>
      </c>
      <c r="B406" s="25" t="n"/>
    </row>
    <row r="407">
      <c r="A407" s="11" t="inlineStr">
        <is>
          <t>SA-Olive-M</t>
        </is>
      </c>
      <c r="B407" s="25" t="n"/>
    </row>
    <row r="408">
      <c r="A408" s="11" t="inlineStr">
        <is>
          <t>SA-Olive-XL</t>
        </is>
      </c>
      <c r="B408" s="25" t="n"/>
    </row>
    <row r="409">
      <c r="A409" s="11" t="inlineStr">
        <is>
          <t>SA-Putih Tulang-L</t>
        </is>
      </c>
      <c r="B409" s="25" t="n"/>
    </row>
    <row r="410">
      <c r="A410" s="11" t="inlineStr">
        <is>
          <t>SA-Putih Tulang-M</t>
        </is>
      </c>
      <c r="B410" s="25" t="n"/>
    </row>
    <row r="411">
      <c r="A411" s="11" t="inlineStr">
        <is>
          <t>SA-Putih Tulang-XL</t>
        </is>
      </c>
      <c r="B411" s="25" t="n"/>
    </row>
    <row r="412">
      <c r="A412" s="11" t="inlineStr">
        <is>
          <t>SA-Putih-L</t>
        </is>
      </c>
      <c r="B412" s="25" t="n"/>
    </row>
    <row r="413">
      <c r="A413" s="11" t="inlineStr">
        <is>
          <t>SA-Putih-M</t>
        </is>
      </c>
      <c r="B413" s="25" t="n"/>
    </row>
    <row r="414">
      <c r="A414" s="11" t="inlineStr">
        <is>
          <t>SA-Putih-XL</t>
        </is>
      </c>
      <c r="B414" s="25" t="n"/>
    </row>
    <row r="415">
      <c r="A415" s="11" t="inlineStr">
        <is>
          <t>SA-Sage-L</t>
        </is>
      </c>
      <c r="B415" s="25" t="n"/>
    </row>
    <row r="416">
      <c r="A416" s="11" t="inlineStr">
        <is>
          <t>SA-Sage-M</t>
        </is>
      </c>
      <c r="B416" s="25" t="n"/>
    </row>
    <row r="417">
      <c r="A417" s="11" t="inlineStr">
        <is>
          <t>SA-Sage-XL</t>
        </is>
      </c>
      <c r="B417" s="25" t="n"/>
    </row>
    <row r="418">
      <c r="A418" s="11" t="inlineStr">
        <is>
          <t>SA-Smoke-L</t>
        </is>
      </c>
      <c r="B418" s="25" t="n"/>
    </row>
    <row r="419">
      <c r="A419" s="11" t="inlineStr">
        <is>
          <t>SA-Smoke-M</t>
        </is>
      </c>
      <c r="B419" s="25" t="n"/>
    </row>
    <row r="420">
      <c r="A420" s="11" t="inlineStr">
        <is>
          <t>SA-Smoke-XL</t>
        </is>
      </c>
      <c r="B420" s="25" t="n"/>
    </row>
    <row r="421">
      <c r="A421" s="11" t="inlineStr">
        <is>
          <t>SA-Softpink-L</t>
        </is>
      </c>
      <c r="B421" s="25" t="n"/>
    </row>
    <row r="422">
      <c r="A422" s="11" t="inlineStr">
        <is>
          <t>SA-Softpink-M</t>
        </is>
      </c>
      <c r="B422" s="25" t="n"/>
    </row>
    <row r="423">
      <c r="A423" s="11" t="inlineStr">
        <is>
          <t>SA-Softpink-XL</t>
        </is>
      </c>
      <c r="B423" s="25" t="n"/>
    </row>
    <row r="424">
      <c r="A424" s="11" t="inlineStr">
        <is>
          <t>SA-Taro-L</t>
        </is>
      </c>
      <c r="B424" s="25" t="n"/>
    </row>
    <row r="425">
      <c r="A425" s="11" t="inlineStr">
        <is>
          <t>SA-Taro-M</t>
        </is>
      </c>
      <c r="B425" s="25" t="n"/>
    </row>
    <row r="426">
      <c r="A426" s="11" t="inlineStr">
        <is>
          <t>SA-Taro-XL</t>
        </is>
      </c>
      <c r="B426" s="25" t="n"/>
    </row>
    <row r="427">
      <c r="A427" s="11" t="inlineStr">
        <is>
          <t>SA-Tosca-L</t>
        </is>
      </c>
      <c r="B427" s="25" t="n"/>
    </row>
    <row r="428">
      <c r="A428" s="11" t="inlineStr">
        <is>
          <t>SA-Tosca-M</t>
        </is>
      </c>
      <c r="B428" s="25" t="n"/>
    </row>
    <row r="429">
      <c r="A429" s="11" t="inlineStr">
        <is>
          <t>SA-Tosca-XL</t>
        </is>
      </c>
      <c r="B429" s="25" t="n"/>
    </row>
    <row r="430">
      <c r="A430" s="11" t="inlineStr">
        <is>
          <t>SA-Turkish-L</t>
        </is>
      </c>
      <c r="B430" s="25" t="n"/>
    </row>
    <row r="431">
      <c r="A431" s="11" t="inlineStr">
        <is>
          <t>SA-Turkish-M</t>
        </is>
      </c>
      <c r="B431" s="25" t="n"/>
    </row>
    <row r="432">
      <c r="A432" s="11" t="inlineStr">
        <is>
          <t>SA-Turkish-XL</t>
        </is>
      </c>
      <c r="B432" s="25" t="n"/>
    </row>
    <row r="433">
      <c r="A433" s="11" t="inlineStr">
        <is>
          <t>SA.PM-Almond-L</t>
        </is>
      </c>
      <c r="B433" s="25" t="n"/>
    </row>
    <row r="434">
      <c r="A434" s="11" t="inlineStr">
        <is>
          <t>SA.PM-Almond-M</t>
        </is>
      </c>
      <c r="B434" s="25" t="n"/>
    </row>
    <row r="435">
      <c r="A435" s="11" t="inlineStr">
        <is>
          <t>SA.PM-Caramel-L</t>
        </is>
      </c>
      <c r="B435" s="25" t="n"/>
    </row>
    <row r="436">
      <c r="A436" s="11" t="inlineStr">
        <is>
          <t>SA.PM-Caramel-M</t>
        </is>
      </c>
      <c r="B436" s="25" t="n"/>
    </row>
    <row r="437">
      <c r="A437" s="11" t="inlineStr">
        <is>
          <t>SA.PM-Dark Grey-L</t>
        </is>
      </c>
      <c r="B437" s="25" t="n"/>
    </row>
    <row r="438" ht="25.5" customHeight="1" s="35">
      <c r="A438" s="11" t="inlineStr">
        <is>
          <t>SA.PM-Dark Grey-M</t>
        </is>
      </c>
      <c r="B438" s="25" t="n"/>
    </row>
    <row r="439">
      <c r="A439" s="11" t="inlineStr">
        <is>
          <t>SA.PM-Hitam-L</t>
        </is>
      </c>
      <c r="B439" s="25" t="n"/>
    </row>
    <row r="440">
      <c r="A440" s="11" t="inlineStr">
        <is>
          <t>SA.PM-Hitam-M</t>
        </is>
      </c>
      <c r="B440" s="25" t="n"/>
    </row>
    <row r="441">
      <c r="A441" s="11" t="inlineStr">
        <is>
          <t>SA.PM-Milky-L</t>
        </is>
      </c>
      <c r="B441" s="25" t="n"/>
    </row>
    <row r="442">
      <c r="A442" s="11" t="inlineStr">
        <is>
          <t>SA.PM-Milky-M</t>
        </is>
      </c>
      <c r="B442" s="25" t="n"/>
    </row>
    <row r="443">
      <c r="A443" s="11" t="inlineStr">
        <is>
          <t>SA.PM-Mocca-L</t>
        </is>
      </c>
      <c r="B443" s="25" t="n"/>
    </row>
    <row r="444">
      <c r="A444" s="11" t="inlineStr">
        <is>
          <t>SA.PM-Mocca-M</t>
        </is>
      </c>
      <c r="B444" s="25" t="n"/>
    </row>
    <row r="445" ht="26.45" customHeight="1" s="35">
      <c r="A445" s="11" t="inlineStr">
        <is>
          <t>SA.PM-Otter Brown-L</t>
        </is>
      </c>
      <c r="B445" s="25" t="n"/>
    </row>
    <row r="446" ht="26.45" customHeight="1" s="35">
      <c r="A446" s="11" t="inlineStr">
        <is>
          <t>SA.PM-Otter Brown-M</t>
        </is>
      </c>
      <c r="B446" s="25" t="n"/>
    </row>
    <row r="447">
      <c r="A447" s="11" t="inlineStr">
        <is>
          <t>SA.PM-Smoke-L</t>
        </is>
      </c>
      <c r="B447" s="25" t="n"/>
    </row>
    <row r="448">
      <c r="A448" s="11" t="inlineStr">
        <is>
          <t>SA.PM-Smoke-M</t>
        </is>
      </c>
      <c r="B448" s="25" t="n"/>
    </row>
    <row r="449">
      <c r="A449" s="11" t="inlineStr">
        <is>
          <t>SPORT-Abu muda-L</t>
        </is>
      </c>
      <c r="B449" s="25" t="n"/>
    </row>
    <row r="450" ht="26.45" customHeight="1" s="35">
      <c r="A450" s="11" t="inlineStr">
        <is>
          <t>SPORT-Abu muda-M</t>
        </is>
      </c>
      <c r="B450" s="25" t="n"/>
    </row>
    <row r="451" ht="25.5" customHeight="1" s="35">
      <c r="A451" s="11" t="inlineStr">
        <is>
          <t>SPORT-Abu muda-S</t>
        </is>
      </c>
      <c r="B451" s="25" t="n"/>
    </row>
    <row r="452">
      <c r="A452" s="11" t="inlineStr">
        <is>
          <t>SPORT-Abu Tua-L</t>
        </is>
      </c>
      <c r="B452" s="25" t="n"/>
    </row>
    <row r="453">
      <c r="A453" s="11" t="inlineStr">
        <is>
          <t>SPORT-Abu Tua-M</t>
        </is>
      </c>
      <c r="B453" s="25" t="n"/>
    </row>
    <row r="454">
      <c r="A454" s="11" t="inlineStr">
        <is>
          <t>SPORT-Abu Tua-S</t>
        </is>
      </c>
      <c r="B454" s="25" t="n"/>
    </row>
    <row r="455">
      <c r="A455" s="11" t="inlineStr">
        <is>
          <t>SPORT-Almond-L</t>
        </is>
      </c>
      <c r="B455" s="25" t="n"/>
    </row>
    <row r="456">
      <c r="A456" s="11" t="inlineStr">
        <is>
          <t>SPORT-Almond-M</t>
        </is>
      </c>
      <c r="B456" s="25" t="n"/>
    </row>
    <row r="457">
      <c r="A457" s="11" t="inlineStr">
        <is>
          <t>SPORT-Almond-S</t>
        </is>
      </c>
      <c r="B457" s="25" t="n"/>
    </row>
    <row r="458">
      <c r="A458" s="11" t="inlineStr">
        <is>
          <t>SPORT-Army-L</t>
        </is>
      </c>
      <c r="B458" s="25" t="n"/>
    </row>
    <row r="459">
      <c r="A459" s="11" t="inlineStr">
        <is>
          <t>SPORT-Army-M</t>
        </is>
      </c>
      <c r="B459" s="25" t="n"/>
    </row>
    <row r="460">
      <c r="A460" s="11" t="inlineStr">
        <is>
          <t>SPORT-Army-S</t>
        </is>
      </c>
      <c r="B460" s="25" t="n"/>
    </row>
    <row r="461">
      <c r="A461" s="11" t="inlineStr">
        <is>
          <t>SPORT-Bata-L</t>
        </is>
      </c>
      <c r="B461" s="25" t="n"/>
    </row>
    <row r="462">
      <c r="A462" s="11" t="inlineStr">
        <is>
          <t>SPORT-Bata-M</t>
        </is>
      </c>
      <c r="B462" s="25" t="n"/>
    </row>
    <row r="463">
      <c r="A463" s="11" t="inlineStr">
        <is>
          <t>SPORT-Bata-S</t>
        </is>
      </c>
      <c r="B463" s="25" t="n"/>
    </row>
    <row r="464">
      <c r="A464" s="11" t="inlineStr">
        <is>
          <t>SPORT-Beige-L</t>
        </is>
      </c>
      <c r="B464" s="25" t="n"/>
    </row>
    <row r="465">
      <c r="A465" s="11" t="inlineStr">
        <is>
          <t>SPORT-Beige-M</t>
        </is>
      </c>
      <c r="B465" s="25" t="n"/>
    </row>
    <row r="466">
      <c r="A466" s="11" t="inlineStr">
        <is>
          <t>SPORT-Beige-S</t>
        </is>
      </c>
      <c r="B466" s="25" t="n"/>
    </row>
    <row r="467">
      <c r="A467" s="11" t="inlineStr">
        <is>
          <t>SPORT-Burgundy-L</t>
        </is>
      </c>
      <c r="B467" s="25" t="n"/>
    </row>
    <row r="468">
      <c r="A468" s="11" t="inlineStr">
        <is>
          <t>SPORT-Burgundy-M</t>
        </is>
      </c>
      <c r="B468" s="25" t="n"/>
    </row>
    <row r="469">
      <c r="A469" s="11" t="inlineStr">
        <is>
          <t>SPORT-Burgundy-S</t>
        </is>
      </c>
      <c r="B469" s="25" t="n"/>
    </row>
    <row r="470">
      <c r="A470" s="11" t="inlineStr">
        <is>
          <t>SPORT-BW-L</t>
        </is>
      </c>
      <c r="B470" s="25" t="n"/>
    </row>
    <row r="471">
      <c r="A471" s="11" t="inlineStr">
        <is>
          <t>SPORT-BW-M</t>
        </is>
      </c>
      <c r="B471" s="25" t="n"/>
    </row>
    <row r="472">
      <c r="A472" s="11" t="inlineStr">
        <is>
          <t>SPORT-BW-S</t>
        </is>
      </c>
      <c r="B472" s="25" t="n"/>
    </row>
    <row r="473">
      <c r="A473" s="11" t="inlineStr">
        <is>
          <t>SPORT-Caramel-L</t>
        </is>
      </c>
      <c r="B473" s="25" t="n"/>
    </row>
    <row r="474">
      <c r="A474" s="11" t="inlineStr">
        <is>
          <t>SPORT-Caramel-M</t>
        </is>
      </c>
      <c r="B474" s="25" t="n"/>
    </row>
    <row r="475">
      <c r="A475" s="11" t="inlineStr">
        <is>
          <t>SPORT-Caramel-S</t>
        </is>
      </c>
      <c r="B475" s="25" t="n"/>
    </row>
    <row r="476" ht="26.45" customHeight="1" s="35">
      <c r="A476" s="11" t="inlineStr">
        <is>
          <t>SPORT-Choco Mocca-L</t>
        </is>
      </c>
      <c r="B476" s="25" t="n"/>
    </row>
    <row r="477" ht="26.45" customHeight="1" s="35">
      <c r="A477" s="11" t="inlineStr">
        <is>
          <t>SPORT-Choco Mocca-M</t>
        </is>
      </c>
      <c r="B477" s="25" t="n"/>
    </row>
    <row r="478" ht="26.45" customHeight="1" s="35">
      <c r="A478" s="11" t="inlineStr">
        <is>
          <t>SPORT-Choco Mocca-S</t>
        </is>
      </c>
      <c r="B478" s="25" t="n"/>
    </row>
    <row r="479">
      <c r="A479" s="11" t="inlineStr">
        <is>
          <t>SPORT-Choco-L</t>
        </is>
      </c>
      <c r="B479" s="25" t="n"/>
    </row>
    <row r="480">
      <c r="A480" s="11" t="inlineStr">
        <is>
          <t>SPORT-Choco-M</t>
        </is>
      </c>
      <c r="B480" s="25" t="n"/>
    </row>
    <row r="481">
      <c r="A481" s="11" t="inlineStr">
        <is>
          <t>SPORT-Choco-S</t>
        </is>
      </c>
      <c r="B481" s="25" t="n"/>
    </row>
    <row r="482" ht="26.45" customHeight="1" s="35">
      <c r="A482" s="11" t="inlineStr">
        <is>
          <t>SPORT-Cokelat Tua-L</t>
        </is>
      </c>
      <c r="B482" s="25" t="n"/>
    </row>
    <row r="483" ht="26.45" customHeight="1" s="35">
      <c r="A483" s="11" t="inlineStr">
        <is>
          <t>SPORT-Cokelat Tua-M</t>
        </is>
      </c>
      <c r="B483" s="25" t="n"/>
    </row>
    <row r="484" ht="26.45" customHeight="1" s="35">
      <c r="A484" s="11" t="inlineStr">
        <is>
          <t>SPORT-Cokelat Tua-S</t>
        </is>
      </c>
      <c r="B484" s="25" t="n"/>
    </row>
    <row r="485" ht="25.5" customHeight="1" s="35">
      <c r="A485" s="11" t="inlineStr">
        <is>
          <t>SPORT-Coklat Tua-L</t>
        </is>
      </c>
      <c r="B485" s="25" t="n"/>
    </row>
    <row r="486" ht="26.45" customHeight="1" s="35">
      <c r="A486" s="11" t="inlineStr">
        <is>
          <t>SPORT-Coklat Tua-M</t>
        </is>
      </c>
      <c r="B486" s="25" t="n"/>
    </row>
    <row r="487" ht="26.45" customHeight="1" s="35">
      <c r="A487" s="11" t="inlineStr">
        <is>
          <t>SPORT-Coklat Tua-S</t>
        </is>
      </c>
      <c r="B487" s="25" t="n"/>
    </row>
    <row r="488">
      <c r="A488" s="11" t="inlineStr">
        <is>
          <t>SPORT-Coksu-L</t>
        </is>
      </c>
      <c r="B488" s="25" t="n"/>
    </row>
    <row r="489">
      <c r="A489" s="11" t="inlineStr">
        <is>
          <t>SPORT-Coksu-M</t>
        </is>
      </c>
      <c r="B489" s="25" t="n"/>
    </row>
    <row r="490">
      <c r="A490" s="11" t="inlineStr">
        <is>
          <t>SPORT-Coksu-S</t>
        </is>
      </c>
      <c r="B490" s="25" t="n"/>
    </row>
    <row r="491">
      <c r="A491" s="11" t="inlineStr">
        <is>
          <t>SPORT-Cream-L</t>
        </is>
      </c>
      <c r="B491" s="25" t="n"/>
    </row>
    <row r="492">
      <c r="A492" s="11" t="inlineStr">
        <is>
          <t>SPORT-Cream-M</t>
        </is>
      </c>
      <c r="B492" s="25" t="n"/>
    </row>
    <row r="493">
      <c r="A493" s="11" t="inlineStr">
        <is>
          <t>SPORT-Cream-S</t>
        </is>
      </c>
      <c r="B493" s="25" t="n"/>
    </row>
    <row r="494">
      <c r="A494" s="11" t="inlineStr">
        <is>
          <t>SPORT-Dark Grey-L</t>
        </is>
      </c>
      <c r="B494" s="25" t="n"/>
    </row>
    <row r="495" ht="26.45" customHeight="1" s="35">
      <c r="A495" s="11" t="inlineStr">
        <is>
          <t>SPORT-Dark Grey-M</t>
        </is>
      </c>
      <c r="B495" s="25" t="n"/>
    </row>
    <row r="496" ht="26.45" customHeight="1" s="35">
      <c r="A496" s="11" t="inlineStr">
        <is>
          <t>SPORT-Dark Grey-S</t>
        </is>
      </c>
      <c r="B496" s="25" t="n"/>
    </row>
    <row r="497">
      <c r="A497" s="11" t="inlineStr">
        <is>
          <t>SPORT-Denim-L</t>
        </is>
      </c>
      <c r="B497" s="25" t="n"/>
    </row>
    <row r="498">
      <c r="A498" s="11" t="inlineStr">
        <is>
          <t>SPORT-Denim-M</t>
        </is>
      </c>
      <c r="B498" s="25" t="n"/>
    </row>
    <row r="499">
      <c r="A499" s="11" t="inlineStr">
        <is>
          <t>SPORT-Denim-S</t>
        </is>
      </c>
      <c r="B499" s="25" t="n"/>
    </row>
    <row r="500" ht="26.45" customHeight="1" s="35">
      <c r="A500" s="11" t="inlineStr">
        <is>
          <t>SPORT-Dusty Pink-L</t>
        </is>
      </c>
      <c r="B500" s="25" t="n"/>
    </row>
    <row r="501" ht="26.45" customHeight="1" s="35">
      <c r="A501" s="11" t="inlineStr">
        <is>
          <t>SPORT-Dusty Pink-M</t>
        </is>
      </c>
      <c r="B501" s="25" t="n"/>
    </row>
    <row r="502" ht="26.45" customHeight="1" s="35">
      <c r="A502" s="11" t="inlineStr">
        <is>
          <t>SPORT-Dusty Pink-S</t>
        </is>
      </c>
      <c r="B502" s="25" t="n"/>
    </row>
    <row r="503" ht="26.45" customHeight="1" s="35">
      <c r="A503" s="11" t="inlineStr">
        <is>
          <t>SPORT-Frappuccino-L</t>
        </is>
      </c>
      <c r="B503" s="25" t="n"/>
    </row>
    <row r="504" ht="26.45" customHeight="1" s="35">
      <c r="A504" s="11" t="inlineStr">
        <is>
          <t>SPORT-Frappuccino-M</t>
        </is>
      </c>
      <c r="B504" s="25" t="n"/>
    </row>
    <row r="505" ht="26.45" customHeight="1" s="35">
      <c r="A505" s="11" t="inlineStr">
        <is>
          <t>SPORT-Frappuccino-S</t>
        </is>
      </c>
      <c r="B505" s="25" t="n"/>
    </row>
    <row r="506">
      <c r="A506" s="11" t="inlineStr">
        <is>
          <t>SPORT-Grey-L</t>
        </is>
      </c>
      <c r="B506" s="25" t="n"/>
    </row>
    <row r="507">
      <c r="A507" s="11" t="inlineStr">
        <is>
          <t>SPORT-Grey-M</t>
        </is>
      </c>
      <c r="B507" s="25" t="n"/>
    </row>
    <row r="508">
      <c r="A508" s="11" t="inlineStr">
        <is>
          <t>SPORT-Grey-S</t>
        </is>
      </c>
      <c r="B508" s="25" t="n"/>
    </row>
    <row r="509">
      <c r="A509" s="11" t="inlineStr">
        <is>
          <t>SPORT-Hazelnut-L</t>
        </is>
      </c>
      <c r="B509" s="25" t="n"/>
    </row>
    <row r="510">
      <c r="A510" s="11" t="inlineStr">
        <is>
          <t>SPORT-Hazelnut-M</t>
        </is>
      </c>
      <c r="B510" s="25" t="n"/>
    </row>
    <row r="511">
      <c r="A511" s="11" t="inlineStr">
        <is>
          <t>SPORT-Hazelnut-S</t>
        </is>
      </c>
      <c r="B511" s="25" t="n"/>
    </row>
    <row r="512" ht="26.45" customHeight="1" s="35">
      <c r="A512" s="11" t="inlineStr">
        <is>
          <t>SPORT-Hijau army-L</t>
        </is>
      </c>
      <c r="B512" s="25" t="n"/>
    </row>
    <row r="513" ht="26.45" customHeight="1" s="35">
      <c r="A513" s="11" t="inlineStr">
        <is>
          <t>SPORT-Hijau army-M</t>
        </is>
      </c>
      <c r="B513" s="25" t="n"/>
    </row>
    <row r="514" ht="26.45" customHeight="1" s="35">
      <c r="A514" s="11" t="inlineStr">
        <is>
          <t>SPORT-Hijau army-S</t>
        </is>
      </c>
      <c r="B514" s="25" t="n"/>
    </row>
    <row r="515" ht="25.5" customHeight="1" s="35">
      <c r="A515" s="11" t="inlineStr">
        <is>
          <t>SPORT-Hijau Botol-L</t>
        </is>
      </c>
      <c r="B515" s="25" t="n"/>
    </row>
    <row r="516" ht="26.45" customHeight="1" s="35">
      <c r="A516" s="11" t="inlineStr">
        <is>
          <t>SPORT-Hijau Botol-M</t>
        </is>
      </c>
      <c r="B516" s="25" t="n"/>
    </row>
    <row r="517" ht="26.45" customHeight="1" s="35">
      <c r="A517" s="11" t="inlineStr">
        <is>
          <t>SPORT-Hijau Botol-S</t>
        </is>
      </c>
      <c r="B517" s="25" t="n"/>
    </row>
    <row r="518">
      <c r="A518" s="11" t="inlineStr">
        <is>
          <t>SPORT-Hitam-L</t>
        </is>
      </c>
      <c r="B518" s="25" t="n"/>
    </row>
    <row r="519">
      <c r="A519" s="11" t="inlineStr">
        <is>
          <t>SPORT-Hitam-M</t>
        </is>
      </c>
      <c r="B519" s="25" t="n"/>
    </row>
    <row r="520">
      <c r="A520" s="11" t="inlineStr">
        <is>
          <t>SPORT-Hitam-S</t>
        </is>
      </c>
      <c r="B520" s="25" t="n"/>
    </row>
    <row r="521">
      <c r="A521" s="11" t="inlineStr">
        <is>
          <t>SPORT-Jotol-L</t>
        </is>
      </c>
      <c r="B521" s="25" t="n"/>
    </row>
    <row r="522">
      <c r="A522" s="11" t="inlineStr">
        <is>
          <t>SPORT-Jotol-M</t>
        </is>
      </c>
      <c r="B522" s="25" t="n"/>
    </row>
    <row r="523">
      <c r="A523" s="11" t="inlineStr">
        <is>
          <t>SPORT-Jotol-S</t>
        </is>
      </c>
      <c r="B523" s="25" t="n"/>
    </row>
    <row r="524">
      <c r="A524" s="11" t="inlineStr">
        <is>
          <t>SPORT-Kunyit-L</t>
        </is>
      </c>
      <c r="B524" s="25" t="n"/>
    </row>
    <row r="525">
      <c r="A525" s="11" t="inlineStr">
        <is>
          <t>SPORT-Kunyit-M</t>
        </is>
      </c>
      <c r="B525" s="25" t="n"/>
    </row>
    <row r="526">
      <c r="A526" s="11" t="inlineStr">
        <is>
          <t>SPORT-Kunyit-S</t>
        </is>
      </c>
      <c r="B526" s="25" t="n"/>
    </row>
    <row r="527">
      <c r="A527" s="11" t="inlineStr">
        <is>
          <t>SPORT-Lavender-L</t>
        </is>
      </c>
      <c r="B527" s="25" t="n"/>
    </row>
    <row r="528">
      <c r="A528" s="11" t="inlineStr">
        <is>
          <t>SPORT-Lavender-M</t>
        </is>
      </c>
      <c r="B528" s="25" t="n"/>
    </row>
    <row r="529">
      <c r="A529" s="11" t="inlineStr">
        <is>
          <t>SPORT-Lavender-S</t>
        </is>
      </c>
      <c r="B529" s="25" t="n"/>
    </row>
    <row r="530">
      <c r="A530" s="11" t="inlineStr">
        <is>
          <t>SPORT-Lemon-L</t>
        </is>
      </c>
      <c r="B530" s="25" t="n"/>
    </row>
    <row r="531">
      <c r="A531" s="11" t="inlineStr">
        <is>
          <t>SPORT-Lemon-M</t>
        </is>
      </c>
      <c r="B531" s="25" t="n"/>
    </row>
    <row r="532">
      <c r="A532" s="11" t="inlineStr">
        <is>
          <t>SPORT-Lemon-S</t>
        </is>
      </c>
      <c r="B532" s="25" t="n"/>
    </row>
    <row r="533">
      <c r="A533" s="11" t="inlineStr">
        <is>
          <t>SPORT-Lilac-L</t>
        </is>
      </c>
      <c r="B533" s="25" t="n"/>
    </row>
    <row r="534">
      <c r="A534" s="11" t="inlineStr">
        <is>
          <t>SPORT-Lilac-M</t>
        </is>
      </c>
      <c r="B534" s="25" t="n"/>
    </row>
    <row r="535">
      <c r="A535" s="11" t="inlineStr">
        <is>
          <t>SPORT-Lilac-S</t>
        </is>
      </c>
      <c r="B535" s="25" t="n"/>
    </row>
    <row r="536">
      <c r="A536" s="11" t="inlineStr">
        <is>
          <t>SPORT-Lime-L</t>
        </is>
      </c>
      <c r="B536" s="25" t="n"/>
    </row>
    <row r="537">
      <c r="A537" s="11" t="inlineStr">
        <is>
          <t>SPORT-Lime-M</t>
        </is>
      </c>
      <c r="B537" s="25" t="n"/>
    </row>
    <row r="538">
      <c r="A538" s="11" t="inlineStr">
        <is>
          <t>SPORT-Lime-S</t>
        </is>
      </c>
      <c r="B538" s="25" t="n"/>
    </row>
    <row r="539">
      <c r="A539" s="11" t="inlineStr">
        <is>
          <t>SPORT-Marun-L</t>
        </is>
      </c>
      <c r="B539" s="25" t="n"/>
    </row>
    <row r="540">
      <c r="A540" s="11" t="inlineStr">
        <is>
          <t>SPORT-Marun-M</t>
        </is>
      </c>
      <c r="B540" s="25" t="n"/>
    </row>
    <row r="541">
      <c r="A541" s="11" t="inlineStr">
        <is>
          <t>SPORT-Marun-S</t>
        </is>
      </c>
      <c r="B541" s="25" t="n"/>
    </row>
    <row r="542">
      <c r="A542" s="11" t="inlineStr">
        <is>
          <t>SPORT-Moca-L</t>
        </is>
      </c>
      <c r="B542" s="25" t="n"/>
    </row>
    <row r="543">
      <c r="A543" s="11" t="inlineStr">
        <is>
          <t>SPORT-Moca-M</t>
        </is>
      </c>
      <c r="B543" s="25" t="n"/>
    </row>
    <row r="544">
      <c r="A544" s="11" t="inlineStr">
        <is>
          <t>SPORT-Moca-S</t>
        </is>
      </c>
      <c r="B544" s="25" t="n"/>
    </row>
    <row r="545">
      <c r="A545" s="11" t="inlineStr">
        <is>
          <t>SPORT-Mustard-L</t>
        </is>
      </c>
      <c r="B545" s="25" t="n"/>
    </row>
    <row r="546">
      <c r="A546" s="11" t="inlineStr">
        <is>
          <t>SPORT-Mustard-M</t>
        </is>
      </c>
      <c r="B546" s="25" t="n"/>
    </row>
    <row r="547">
      <c r="A547" s="11" t="inlineStr">
        <is>
          <t>SPORT-Mustard-S</t>
        </is>
      </c>
      <c r="B547" s="25" t="n"/>
    </row>
    <row r="548">
      <c r="A548" s="11" t="inlineStr">
        <is>
          <t>SPORT-Navy-L</t>
        </is>
      </c>
      <c r="B548" s="25" t="n"/>
    </row>
    <row r="549">
      <c r="A549" s="11" t="inlineStr">
        <is>
          <t>SPORT-Navy-M</t>
        </is>
      </c>
      <c r="B549" s="25" t="n"/>
    </row>
    <row r="550">
      <c r="A550" s="11" t="inlineStr">
        <is>
          <t>SPORT-Navy-S</t>
        </is>
      </c>
      <c r="B550" s="25" t="n"/>
    </row>
    <row r="551">
      <c r="A551" s="11" t="inlineStr">
        <is>
          <t>SPORT-Olive-L</t>
        </is>
      </c>
      <c r="B551" s="25" t="n"/>
    </row>
    <row r="552">
      <c r="A552" s="11" t="inlineStr">
        <is>
          <t>SPORT-Olive-M</t>
        </is>
      </c>
      <c r="B552" s="25" t="n"/>
    </row>
    <row r="553">
      <c r="A553" s="11" t="inlineStr">
        <is>
          <t>SPORT-Olive-S</t>
        </is>
      </c>
      <c r="B553" s="25" t="n"/>
    </row>
    <row r="554" ht="26.45" customHeight="1" s="35">
      <c r="A554" s="11" t="inlineStr">
        <is>
          <t>SPORT-Putih Tulang-L</t>
        </is>
      </c>
      <c r="B554" s="25" t="n"/>
    </row>
    <row r="555" ht="26.45" customHeight="1" s="35">
      <c r="A555" s="11" t="inlineStr">
        <is>
          <t>SPORT-Putih Tulang-M</t>
        </is>
      </c>
      <c r="B555" s="25" t="n"/>
    </row>
    <row r="556" ht="26.45" customHeight="1" s="35">
      <c r="A556" s="11" t="inlineStr">
        <is>
          <t>SPORT-Putih Tulang-S</t>
        </is>
      </c>
      <c r="B556" s="25" t="n"/>
    </row>
    <row r="557">
      <c r="A557" s="11" t="inlineStr">
        <is>
          <t>SPORT-Putih-L</t>
        </is>
      </c>
      <c r="B557" s="25" t="n"/>
    </row>
    <row r="558">
      <c r="A558" s="11" t="inlineStr">
        <is>
          <t>SPORT-Putih-M</t>
        </is>
      </c>
      <c r="B558" s="25" t="n"/>
    </row>
    <row r="559">
      <c r="A559" s="11" t="inlineStr">
        <is>
          <t>SPORT-Putih-S</t>
        </is>
      </c>
      <c r="B559" s="25" t="n"/>
    </row>
    <row r="560" ht="25.5" customHeight="1" s="35">
      <c r="A560" s="11" t="inlineStr">
        <is>
          <t>SPORT-Rose Gold-L</t>
        </is>
      </c>
      <c r="B560" s="25" t="n"/>
    </row>
    <row r="561" ht="26.45" customHeight="1" s="35">
      <c r="A561" s="11" t="inlineStr">
        <is>
          <t>SPORT-Rose Gold-M</t>
        </is>
      </c>
      <c r="B561" s="25" t="n"/>
    </row>
    <row r="562" ht="25.5" customHeight="1" s="35">
      <c r="A562" s="11" t="inlineStr">
        <is>
          <t>SPORT-Rose Gold-S</t>
        </is>
      </c>
      <c r="B562" s="25" t="n"/>
    </row>
    <row r="563">
      <c r="A563" s="11" t="inlineStr">
        <is>
          <t>SPORT-Sage-L</t>
        </is>
      </c>
      <c r="B563" s="25" t="n"/>
    </row>
    <row r="564">
      <c r="A564" s="11" t="inlineStr">
        <is>
          <t>SPORT-Sage-M</t>
        </is>
      </c>
      <c r="B564" s="25" t="n"/>
    </row>
    <row r="565">
      <c r="A565" s="11" t="inlineStr">
        <is>
          <t>SPORT-Sage-S</t>
        </is>
      </c>
      <c r="B565" s="25" t="n"/>
    </row>
    <row r="566">
      <c r="A566" s="11" t="inlineStr">
        <is>
          <t>SPORT-Smoke-L</t>
        </is>
      </c>
      <c r="B566" s="25" t="n"/>
    </row>
    <row r="567">
      <c r="A567" s="11" t="inlineStr">
        <is>
          <t>SPORT-Smoke-M</t>
        </is>
      </c>
      <c r="B567" s="25" t="n"/>
    </row>
    <row r="568">
      <c r="A568" s="11" t="inlineStr">
        <is>
          <t>SPORT-Smoke-S</t>
        </is>
      </c>
      <c r="B568" s="25" t="n"/>
    </row>
    <row r="569">
      <c r="A569" s="11" t="inlineStr">
        <is>
          <t>SPORT-Softpink-L</t>
        </is>
      </c>
      <c r="B569" s="25" t="n"/>
    </row>
    <row r="570">
      <c r="A570" s="11" t="inlineStr">
        <is>
          <t>SPORT-Softpink-M</t>
        </is>
      </c>
      <c r="B570" s="25" t="n"/>
    </row>
    <row r="571">
      <c r="A571" s="11" t="inlineStr">
        <is>
          <t>SPORT-Softpink-S</t>
        </is>
      </c>
      <c r="B571" s="25" t="n"/>
    </row>
    <row r="572">
      <c r="A572" s="11" t="inlineStr">
        <is>
          <t>SPORT-Taro-L</t>
        </is>
      </c>
      <c r="B572" s="25" t="n"/>
    </row>
    <row r="573">
      <c r="A573" s="11" t="inlineStr">
        <is>
          <t>SPORT-Taro-M</t>
        </is>
      </c>
      <c r="B573" s="25" t="n"/>
    </row>
    <row r="574">
      <c r="A574" s="11" t="inlineStr">
        <is>
          <t>SPORT-Taro-S</t>
        </is>
      </c>
      <c r="B574" s="25" t="n"/>
    </row>
    <row r="575">
      <c r="A575" s="11" t="inlineStr">
        <is>
          <t>SPORT-Taupe-L</t>
        </is>
      </c>
      <c r="B575" s="25" t="n"/>
    </row>
    <row r="576">
      <c r="A576" s="11" t="inlineStr">
        <is>
          <t>SPORT-Taupe-M</t>
        </is>
      </c>
      <c r="B576" s="25" t="n"/>
    </row>
    <row r="577">
      <c r="A577" s="11" t="inlineStr">
        <is>
          <t>SPORT-Taupe-S</t>
        </is>
      </c>
      <c r="B577" s="25" t="n"/>
    </row>
    <row r="578">
      <c r="A578" s="11" t="inlineStr">
        <is>
          <t>SPORT-Terracotta-L</t>
        </is>
      </c>
      <c r="B578" s="25" t="n"/>
    </row>
    <row r="579" ht="26.45" customHeight="1" s="35">
      <c r="A579" s="11" t="inlineStr">
        <is>
          <t>SPORT-Terracotta-M</t>
        </is>
      </c>
      <c r="B579" s="25" t="n"/>
    </row>
    <row r="580" ht="25.5" customHeight="1" s="35">
      <c r="A580" s="11" t="inlineStr">
        <is>
          <t>SPORT-Terracotta-S</t>
        </is>
      </c>
      <c r="B580" s="25" t="n"/>
    </row>
    <row r="581">
      <c r="A581" s="11" t="inlineStr">
        <is>
          <t>SPORT-Tosca-L</t>
        </is>
      </c>
      <c r="B581" s="25" t="n"/>
    </row>
    <row r="582">
      <c r="A582" s="11" t="inlineStr">
        <is>
          <t>SPORT-Tosca-M</t>
        </is>
      </c>
      <c r="B582" s="25" t="n"/>
    </row>
    <row r="583">
      <c r="A583" s="11" t="inlineStr">
        <is>
          <t>SPORT-Tosca-S</t>
        </is>
      </c>
      <c r="B583" s="25" t="n"/>
    </row>
    <row r="584">
      <c r="A584" s="11" t="inlineStr">
        <is>
          <t>SPORT-Toska-L</t>
        </is>
      </c>
      <c r="B584" s="25" t="n"/>
    </row>
    <row r="585">
      <c r="A585" s="11" t="inlineStr">
        <is>
          <t>SPORT-Toska-M</t>
        </is>
      </c>
      <c r="B585" s="25" t="n"/>
    </row>
    <row r="586">
      <c r="A586" s="11" t="inlineStr">
        <is>
          <t>SPORT-Toska-S</t>
        </is>
      </c>
      <c r="B586" s="25" t="n"/>
    </row>
    <row r="587">
      <c r="A587" s="11" t="inlineStr">
        <is>
          <t>SPORT-Turkish-L</t>
        </is>
      </c>
      <c r="B587" s="25" t="n"/>
    </row>
    <row r="588">
      <c r="A588" s="11" t="inlineStr">
        <is>
          <t>SPORT-Turkish-M</t>
        </is>
      </c>
      <c r="B588" s="25" t="n"/>
    </row>
    <row r="589">
      <c r="A589" s="11" t="inlineStr">
        <is>
          <t>SPORT-Turkish-S</t>
        </is>
      </c>
      <c r="B589" s="25" t="n"/>
    </row>
    <row r="590">
      <c r="A590" s="11" t="inlineStr">
        <is>
          <t>SPORT-Wardah-L</t>
        </is>
      </c>
      <c r="B590" s="25" t="n"/>
    </row>
    <row r="591">
      <c r="A591" s="11" t="inlineStr">
        <is>
          <t>SPORT-Wardah-M</t>
        </is>
      </c>
      <c r="B591" s="25" t="n"/>
    </row>
    <row r="592">
      <c r="A592" s="11" t="inlineStr">
        <is>
          <t>SPORT-Wardah-S</t>
        </is>
      </c>
      <c r="B592" s="25" t="n"/>
    </row>
    <row r="593">
      <c r="A593" s="11" t="n"/>
    </row>
    <row r="594">
      <c r="A594" s="11" t="n"/>
    </row>
    <row r="595">
      <c r="A595" s="11" t="n"/>
    </row>
    <row r="596">
      <c r="A596" s="11" t="n"/>
    </row>
    <row r="597">
      <c r="A597" s="11" t="n"/>
    </row>
    <row r="598">
      <c r="A598" s="11" t="n"/>
    </row>
    <row r="599">
      <c r="A599" s="11" t="n"/>
    </row>
    <row r="600">
      <c r="A600" s="11" t="n"/>
    </row>
    <row r="601">
      <c r="A601" s="11" t="n"/>
    </row>
    <row r="602">
      <c r="A602" s="11" t="n"/>
    </row>
    <row r="603">
      <c r="A603" s="11" t="n"/>
    </row>
    <row r="604">
      <c r="A604" s="11" t="n"/>
    </row>
    <row r="605">
      <c r="A605" s="11" t="n"/>
    </row>
    <row r="606">
      <c r="A606" s="11" t="n"/>
    </row>
    <row r="607">
      <c r="A607" s="11" t="n"/>
    </row>
    <row r="608">
      <c r="A608" s="11" t="n"/>
    </row>
    <row r="609">
      <c r="A609" s="11" t="n"/>
    </row>
    <row r="610">
      <c r="A610" s="11" t="n"/>
    </row>
    <row r="611">
      <c r="A611" s="11" t="n"/>
    </row>
    <row r="612">
      <c r="A612" s="11" t="n"/>
    </row>
    <row r="613">
      <c r="A613" s="11" t="n"/>
    </row>
    <row r="614">
      <c r="A614" s="11" t="n"/>
    </row>
    <row r="615">
      <c r="A615" s="11" t="n"/>
    </row>
    <row r="616">
      <c r="A616" s="11" t="n"/>
    </row>
    <row r="617">
      <c r="A617" s="11" t="n"/>
    </row>
    <row r="618">
      <c r="A618" s="11" t="n"/>
    </row>
    <row r="619">
      <c r="A619" s="11" t="n"/>
    </row>
    <row r="620">
      <c r="A620" s="11" t="n"/>
    </row>
    <row r="621">
      <c r="A621" s="11" t="n"/>
    </row>
    <row r="622">
      <c r="A622" s="11" t="n"/>
    </row>
    <row r="623">
      <c r="A623" s="11" t="n"/>
    </row>
    <row r="624">
      <c r="A624" s="11" t="n"/>
    </row>
    <row r="625">
      <c r="A625" s="11" t="n"/>
    </row>
    <row r="626">
      <c r="A626" s="11" t="n"/>
    </row>
    <row r="627">
      <c r="A627" s="11" t="n"/>
    </row>
    <row r="628">
      <c r="A628" s="11" t="n"/>
    </row>
    <row r="629">
      <c r="A629" s="11" t="n"/>
    </row>
    <row r="630">
      <c r="A630" s="11" t="n"/>
    </row>
    <row r="631">
      <c r="A631" s="11" t="n"/>
    </row>
    <row r="632">
      <c r="A632" s="11" t="n"/>
    </row>
    <row r="633">
      <c r="A633" s="11" t="n"/>
    </row>
    <row r="634">
      <c r="A634" s="11" t="n"/>
    </row>
    <row r="635">
      <c r="A635" s="11" t="n"/>
    </row>
    <row r="636">
      <c r="A636" s="11" t="n"/>
    </row>
    <row r="637">
      <c r="A637" s="11" t="n"/>
    </row>
    <row r="638">
      <c r="A638" s="11" t="n"/>
    </row>
    <row r="639">
      <c r="A639" s="11" t="n"/>
    </row>
    <row r="640">
      <c r="A640" s="11" t="n"/>
    </row>
    <row r="641">
      <c r="A641" s="11" t="n"/>
    </row>
    <row r="642">
      <c r="A642" s="11" t="n"/>
    </row>
    <row r="643">
      <c r="A643" s="11" t="n"/>
    </row>
    <row r="644">
      <c r="A644" s="11" t="n"/>
    </row>
    <row r="645">
      <c r="A645" s="11" t="n"/>
    </row>
    <row r="646">
      <c r="A646" s="11" t="n"/>
    </row>
    <row r="647">
      <c r="A647" s="11" t="n"/>
    </row>
    <row r="648">
      <c r="A648" s="11" t="n"/>
    </row>
    <row r="649">
      <c r="A649" s="11" t="n"/>
    </row>
    <row r="650">
      <c r="A650" s="11" t="n"/>
    </row>
    <row r="651">
      <c r="A651" s="11" t="n"/>
    </row>
    <row r="652">
      <c r="A652" s="11" t="n"/>
    </row>
    <row r="653">
      <c r="A653" s="11" t="n"/>
    </row>
  </sheetData>
  <pageMargins left="0.7" right="0.7" top="0.75" bottom="0.75" header="0.3" footer="0.3"/>
  <pageSetup orientation="portrait" paperSize="259" horizontalDpi="203" verticalDpi="20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24" sqref="A24"/>
    </sheetView>
  </sheetViews>
  <sheetFormatPr baseColWidth="8" defaultRowHeight="15"/>
  <cols>
    <col width="21.85546875" bestFit="1" customWidth="1" style="35" min="1" max="1"/>
    <col width="12.7109375" bestFit="1" customWidth="1" style="35" min="2" max="2"/>
  </cols>
  <sheetData>
    <row r="1" ht="15" customHeight="1" s="35">
      <c r="A1" s="12" t="inlineStr">
        <is>
          <t>SKU</t>
        </is>
      </c>
      <c r="B1" s="9" t="inlineStr">
        <is>
          <t>Harga Satuan</t>
        </is>
      </c>
    </row>
    <row r="2">
      <c r="A2" t="inlineStr">
        <is>
          <t>DG-3PCS</t>
        </is>
      </c>
      <c r="B2" s="24" t="n"/>
    </row>
    <row r="3">
      <c r="A3" t="inlineStr">
        <is>
          <t>DG-M</t>
        </is>
      </c>
      <c r="B3" s="24" t="n">
        <v>10000</v>
      </c>
    </row>
    <row r="4">
      <c r="A4" t="inlineStr">
        <is>
          <t>DG-L</t>
        </is>
      </c>
      <c r="B4" s="24" t="n">
        <v>11500</v>
      </c>
    </row>
    <row r="5">
      <c r="A5" t="inlineStr">
        <is>
          <t>JSO</t>
        </is>
      </c>
      <c r="B5" t="n">
        <v>13000</v>
      </c>
    </row>
    <row r="6">
      <c r="A6" t="inlineStr">
        <is>
          <t>H.PM-L</t>
        </is>
      </c>
    </row>
    <row r="7">
      <c r="A7" t="inlineStr">
        <is>
          <t>H.PM-M</t>
        </is>
      </c>
    </row>
    <row r="8">
      <c r="A8" t="inlineStr">
        <is>
          <t>HM</t>
        </is>
      </c>
    </row>
    <row r="9">
      <c r="A9" t="inlineStr">
        <is>
          <t>KOREAN-L</t>
        </is>
      </c>
    </row>
    <row r="10">
      <c r="A10" t="inlineStr">
        <is>
          <t>KOREAN-XL</t>
        </is>
      </c>
    </row>
    <row r="11">
      <c r="A11" t="inlineStr">
        <is>
          <t>Labubu</t>
        </is>
      </c>
    </row>
    <row r="12">
      <c r="A12" t="inlineStr">
        <is>
          <t>Marissa</t>
        </is>
      </c>
    </row>
    <row r="13">
      <c r="A13" t="inlineStr">
        <is>
          <t>P-Polos</t>
        </is>
      </c>
      <c r="B13" t="n">
        <v>13000</v>
      </c>
    </row>
    <row r="14">
      <c r="A14" t="inlineStr">
        <is>
          <t>P.Oval</t>
        </is>
      </c>
    </row>
    <row r="15">
      <c r="A15" t="inlineStr">
        <is>
          <t>P.Polos-Anak</t>
        </is>
      </c>
    </row>
    <row r="16">
      <c r="A16" t="inlineStr">
        <is>
          <t>S3</t>
        </is>
      </c>
      <c r="B16" t="n">
        <v>10000</v>
      </c>
    </row>
    <row r="17">
      <c r="A17" t="inlineStr">
        <is>
          <t>SA-L</t>
        </is>
      </c>
      <c r="B17" t="n">
        <v>8000</v>
      </c>
    </row>
    <row r="18">
      <c r="A18" t="inlineStr">
        <is>
          <t>SA-M</t>
        </is>
      </c>
    </row>
    <row r="19">
      <c r="A19" t="inlineStr">
        <is>
          <t>SA-XL</t>
        </is>
      </c>
    </row>
    <row r="20">
      <c r="A20" t="inlineStr">
        <is>
          <t>SPORT-S</t>
        </is>
      </c>
      <c r="B20" t="n">
        <v>5500</v>
      </c>
    </row>
    <row r="21">
      <c r="A21" t="inlineStr">
        <is>
          <t>SPORT-M</t>
        </is>
      </c>
      <c r="B21" t="n">
        <v>8000</v>
      </c>
    </row>
    <row r="22">
      <c r="A22" t="inlineStr">
        <is>
          <t>SPORT-L</t>
        </is>
      </c>
      <c r="B22" t="n">
        <v>10000</v>
      </c>
    </row>
    <row r="23">
      <c r="A23" t="inlineStr">
        <is>
          <t>Kertas Resi</t>
        </is>
      </c>
      <c r="B23" t="n">
        <v>33000</v>
      </c>
    </row>
    <row r="24">
      <c r="A24" t="inlineStr">
        <is>
          <t>Plastik Packing Hitam</t>
        </is>
      </c>
      <c r="B24" t="n">
        <v>15000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25" sqref="A25:XFD25"/>
    </sheetView>
  </sheetViews>
  <sheetFormatPr baseColWidth="8" defaultRowHeight="15"/>
  <cols>
    <col width="17" customWidth="1" style="35" min="1" max="1"/>
    <col width="10.85546875" bestFit="1" customWidth="1" style="35" min="2" max="2"/>
    <col width="9.85546875" bestFit="1" customWidth="1" style="35" min="3" max="3"/>
    <col width="15.140625" bestFit="1" customWidth="1" style="22" min="4" max="4"/>
    <col width="10.42578125" bestFit="1" customWidth="1" style="33" min="5" max="5"/>
  </cols>
  <sheetData>
    <row r="1">
      <c r="A1" s="10" t="inlineStr">
        <is>
          <t>Source</t>
        </is>
      </c>
      <c r="B1" s="10" t="inlineStr">
        <is>
          <t>Tgl_Hutang</t>
        </is>
      </c>
      <c r="C1" s="10" t="inlineStr">
        <is>
          <t>Nama</t>
        </is>
      </c>
      <c r="D1" s="31" t="inlineStr">
        <is>
          <t>Nominal_Bayar</t>
        </is>
      </c>
      <c r="E1" s="32" t="inlineStr">
        <is>
          <t>Tgl_Bayar</t>
        </is>
      </c>
    </row>
    <row r="2">
      <c r="A2" t="inlineStr">
        <is>
          <t>Barang_Terhutang</t>
        </is>
      </c>
      <c r="B2" t="inlineStr">
        <is>
          <t>2026-04-19</t>
        </is>
      </c>
      <c r="C2" t="inlineStr">
        <is>
          <t>Kak Hari</t>
        </is>
      </c>
      <c r="D2" s="22" t="n">
        <v>1782500</v>
      </c>
      <c r="E2" s="33" t="n">
        <v>46135</v>
      </c>
    </row>
    <row r="3">
      <c r="A3" t="inlineStr">
        <is>
          <t>Barang_Terhutang</t>
        </is>
      </c>
      <c r="B3" t="inlineStr">
        <is>
          <t>2026-04-19</t>
        </is>
      </c>
      <c r="C3" t="inlineStr">
        <is>
          <t>Kak Hari</t>
        </is>
      </c>
      <c r="D3" s="22" t="n">
        <v>2024000</v>
      </c>
      <c r="E3" s="33" t="n">
        <v>46135</v>
      </c>
    </row>
    <row r="4">
      <c r="A4" t="inlineStr">
        <is>
          <t>Barang_Terhutang</t>
        </is>
      </c>
      <c r="B4" t="inlineStr">
        <is>
          <t>2026-04-19</t>
        </is>
      </c>
      <c r="C4" t="inlineStr">
        <is>
          <t>Kak Hari</t>
        </is>
      </c>
      <c r="D4" s="22" t="n">
        <v>2081500</v>
      </c>
      <c r="E4" s="33" t="n">
        <v>46135</v>
      </c>
    </row>
    <row r="5">
      <c r="A5" t="inlineStr">
        <is>
          <t>Barang_Terhutang</t>
        </is>
      </c>
      <c r="B5" t="inlineStr">
        <is>
          <t>2026-04-19</t>
        </is>
      </c>
      <c r="C5" t="inlineStr">
        <is>
          <t>Kak Hari</t>
        </is>
      </c>
      <c r="D5" s="22" t="n">
        <v>2001000</v>
      </c>
      <c r="E5" s="33" t="n">
        <v>46135</v>
      </c>
    </row>
    <row r="6">
      <c r="A6" t="inlineStr">
        <is>
          <t>Barang_Terhutang</t>
        </is>
      </c>
      <c r="B6" t="inlineStr">
        <is>
          <t>2026-04-19</t>
        </is>
      </c>
      <c r="C6" t="inlineStr">
        <is>
          <t>Kak Hari</t>
        </is>
      </c>
      <c r="D6" s="22" t="n">
        <v>1932000</v>
      </c>
      <c r="E6" s="33" t="n">
        <v>46135</v>
      </c>
    </row>
    <row r="7">
      <c r="A7" t="inlineStr">
        <is>
          <t>Barang_Terhutang</t>
        </is>
      </c>
      <c r="B7" t="inlineStr">
        <is>
          <t>2026-04-19</t>
        </is>
      </c>
      <c r="C7" t="inlineStr">
        <is>
          <t>Kak Hari</t>
        </is>
      </c>
      <c r="D7" s="22" t="n">
        <v>3921500</v>
      </c>
      <c r="E7" s="33" t="inlineStr">
        <is>
          <t>2026-04-23</t>
        </is>
      </c>
    </row>
    <row r="8">
      <c r="A8" t="inlineStr">
        <is>
          <t>Barang_Terhutang</t>
        </is>
      </c>
      <c r="B8" t="inlineStr">
        <is>
          <t>2026-04-19</t>
        </is>
      </c>
      <c r="C8" t="inlineStr">
        <is>
          <t>Kak Hari</t>
        </is>
      </c>
      <c r="D8" s="22" t="n">
        <v>1962000</v>
      </c>
      <c r="E8" s="33" t="n">
        <v>46135</v>
      </c>
    </row>
    <row r="9">
      <c r="A9" t="inlineStr">
        <is>
          <t>Barang_Terhutang</t>
        </is>
      </c>
      <c r="B9" t="inlineStr">
        <is>
          <t>2026-04-19</t>
        </is>
      </c>
      <c r="C9" t="inlineStr">
        <is>
          <t>Kak Hari</t>
        </is>
      </c>
      <c r="D9" s="22" t="n">
        <v>3888000</v>
      </c>
      <c r="E9" s="33" t="n">
        <v>46135</v>
      </c>
    </row>
    <row r="10">
      <c r="A10" t="inlineStr">
        <is>
          <t>Barang_Terhutang</t>
        </is>
      </c>
      <c r="B10" t="inlineStr">
        <is>
          <t>Pelunasan 18 Transaksi Terpilih</t>
        </is>
      </c>
      <c r="C10" t="inlineStr">
        <is>
          <t>Kak Hari</t>
        </is>
      </c>
      <c r="D10" s="22" t="n">
        <v>26055000</v>
      </c>
      <c r="E10" t="inlineStr">
        <is>
          <t>2026-04-25</t>
        </is>
      </c>
    </row>
    <row r="11">
      <c r="A11" t="inlineStr">
        <is>
          <t>Modal_Hutang</t>
        </is>
      </c>
      <c r="B11" t="inlineStr">
        <is>
          <t>Pelunasan 1 Transaksi Terpilih</t>
        </is>
      </c>
      <c r="C11" t="inlineStr">
        <is>
          <t>Kak Boden</t>
        </is>
      </c>
      <c r="D11" s="22" t="n">
        <v>10000000</v>
      </c>
      <c r="E11" t="inlineStr">
        <is>
          <t>2026-04-27</t>
        </is>
      </c>
    </row>
    <row r="12">
      <c r="A12" t="inlineStr">
        <is>
          <t>Modal_Hutang</t>
        </is>
      </c>
      <c r="B12" t="inlineStr">
        <is>
          <t>2026-04-14</t>
        </is>
      </c>
      <c r="C12" t="inlineStr">
        <is>
          <t>Kak Yudi</t>
        </is>
      </c>
      <c r="D12" s="22" t="n">
        <v>36832320</v>
      </c>
      <c r="E12" t="inlineStr">
        <is>
          <t>2026-04-14</t>
        </is>
      </c>
    </row>
    <row r="13">
      <c r="A13" t="inlineStr">
        <is>
          <t>Modal_Hutang</t>
        </is>
      </c>
      <c r="B13" t="inlineStr">
        <is>
          <t>2026-04-14</t>
        </is>
      </c>
      <c r="C13" t="inlineStr">
        <is>
          <t>Kak Yudi</t>
        </is>
      </c>
      <c r="D13" s="22" t="n">
        <v>26024400</v>
      </c>
      <c r="E13" t="inlineStr">
        <is>
          <t>2026-04-20</t>
        </is>
      </c>
    </row>
    <row r="14">
      <c r="A14" t="inlineStr">
        <is>
          <t>Modal_Hutang</t>
        </is>
      </c>
      <c r="B14" t="inlineStr">
        <is>
          <t>2026-04-14</t>
        </is>
      </c>
      <c r="C14" t="inlineStr">
        <is>
          <t>Kak Yudi</t>
        </is>
      </c>
      <c r="D14" s="22" t="n">
        <v>27476400</v>
      </c>
      <c r="E14" t="inlineStr">
        <is>
          <t>2026-04-20</t>
        </is>
      </c>
    </row>
    <row r="15">
      <c r="A15" t="inlineStr">
        <is>
          <t>Modal_Hutang</t>
        </is>
      </c>
      <c r="B15" t="inlineStr">
        <is>
          <t>2026-04-14</t>
        </is>
      </c>
      <c r="C15" t="inlineStr">
        <is>
          <t>Kak Yudi</t>
        </is>
      </c>
      <c r="D15" s="22" t="n">
        <v>28779000</v>
      </c>
      <c r="E15" s="30" t="n">
        <v>46135</v>
      </c>
    </row>
    <row r="16">
      <c r="A16" t="inlineStr">
        <is>
          <t>Modal_Hutang</t>
        </is>
      </c>
      <c r="B16" t="inlineStr">
        <is>
          <t>Pelunasan 2 Transaksi Terpilih</t>
        </is>
      </c>
      <c r="C16" t="inlineStr">
        <is>
          <t>Kak Yudi</t>
        </is>
      </c>
      <c r="D16" s="22" t="n">
        <v>33632400</v>
      </c>
      <c r="E16" t="inlineStr">
        <is>
          <t>2026-04-28</t>
        </is>
      </c>
    </row>
    <row r="17">
      <c r="A17" t="inlineStr">
        <is>
          <t>Modal_Hutang</t>
        </is>
      </c>
      <c r="B17" t="inlineStr">
        <is>
          <t>Pelunasan 1 Transaksi Terpilih</t>
        </is>
      </c>
      <c r="C17" t="inlineStr">
        <is>
          <t>Salim Cap</t>
        </is>
      </c>
      <c r="D17" s="22" t="n">
        <v>2000000</v>
      </c>
      <c r="E17" s="30" t="n">
        <v>46134</v>
      </c>
    </row>
    <row r="18">
      <c r="A18" t="inlineStr">
        <is>
          <t>Modal_Hutang</t>
        </is>
      </c>
      <c r="B18" t="inlineStr">
        <is>
          <t>Pelunasan 1 Transaksi Terpilih</t>
        </is>
      </c>
      <c r="C18" t="inlineStr">
        <is>
          <t>Salim Cap</t>
        </is>
      </c>
      <c r="D18" s="22" t="n">
        <v>3375000</v>
      </c>
      <c r="E18" t="inlineStr">
        <is>
          <t>2026-04-30</t>
        </is>
      </c>
    </row>
    <row r="19">
      <c r="A19" t="inlineStr">
        <is>
          <t>Modal_Hutang</t>
        </is>
      </c>
      <c r="B19" t="inlineStr">
        <is>
          <t>Pelunasan 3 Transaksi Terpilih</t>
        </is>
      </c>
      <c r="C19" t="inlineStr">
        <is>
          <t>Kak Yudi</t>
        </is>
      </c>
      <c r="D19" t="n">
        <v>31879200</v>
      </c>
      <c r="E19" t="inlineStr">
        <is>
          <t>2026-05-04</t>
        </is>
      </c>
    </row>
    <row r="20">
      <c r="A20" t="inlineStr">
        <is>
          <t>Barang_Terhutang</t>
        </is>
      </c>
      <c r="B20" t="inlineStr">
        <is>
          <t>Pelunasan 30 Transaksi Terpilih</t>
        </is>
      </c>
      <c r="C20" t="inlineStr">
        <is>
          <t>Kak Yudi</t>
        </is>
      </c>
      <c r="D20" t="n">
        <v>8336500</v>
      </c>
      <c r="E20" s="30" t="n">
        <v>46135</v>
      </c>
    </row>
    <row r="21">
      <c r="A21" t="inlineStr">
        <is>
          <t>Barang_Terhutang</t>
        </is>
      </c>
      <c r="B21" t="inlineStr">
        <is>
          <t>Pelunasan 70 Transaksi Terpilih</t>
        </is>
      </c>
      <c r="C21" t="inlineStr">
        <is>
          <t>Kak Yudi</t>
        </is>
      </c>
      <c r="D21" t="n">
        <v>3634000</v>
      </c>
      <c r="E21" t="inlineStr">
        <is>
          <t>2026-05-04</t>
        </is>
      </c>
    </row>
    <row r="22">
      <c r="A22" t="inlineStr">
        <is>
          <t>Barang_Terhutang</t>
        </is>
      </c>
      <c r="B22" t="inlineStr">
        <is>
          <t>Pelunasan 27 Transaksi Terpilih</t>
        </is>
      </c>
      <c r="C22" t="inlineStr">
        <is>
          <t>Kak Yudi</t>
        </is>
      </c>
      <c r="D22" t="n">
        <v>540500</v>
      </c>
      <c r="E22" t="inlineStr">
        <is>
          <t>2026-05-07</t>
        </is>
      </c>
    </row>
    <row r="23">
      <c r="A23" t="inlineStr">
        <is>
          <t>Barang_Terhutang</t>
        </is>
      </c>
      <c r="B23" t="inlineStr">
        <is>
          <t>Pelunasan 11 Transaksi Terpilih</t>
        </is>
      </c>
      <c r="C23" t="inlineStr">
        <is>
          <t>Kak Hari</t>
        </is>
      </c>
      <c r="D23" t="n">
        <v>14448000</v>
      </c>
      <c r="E23" t="inlineStr">
        <is>
          <t>2026-05-07</t>
        </is>
      </c>
    </row>
    <row r="24">
      <c r="A24" t="inlineStr">
        <is>
          <t>Modal_Hutang</t>
        </is>
      </c>
      <c r="B24" t="inlineStr">
        <is>
          <t>Pelunasan 2 Transaksi Terpilih</t>
        </is>
      </c>
      <c r="C24" t="inlineStr">
        <is>
          <t>Kak Yudi</t>
        </is>
      </c>
      <c r="D24" t="n">
        <v>38198400</v>
      </c>
      <c r="E24" t="inlineStr">
        <is>
          <t>2026-05-07</t>
        </is>
      </c>
    </row>
    <row r="25">
      <c r="A25" t="inlineStr">
        <is>
          <t>Modal_Hutang</t>
        </is>
      </c>
      <c r="B25" t="inlineStr">
        <is>
          <t>Pelunasan 1 Transaksi Terpilih</t>
        </is>
      </c>
      <c r="C25" t="inlineStr">
        <is>
          <t>Kak Boden</t>
        </is>
      </c>
      <c r="D25" t="n">
        <v>10000000</v>
      </c>
      <c r="E25" t="inlineStr">
        <is>
          <t>2026-05-08</t>
        </is>
      </c>
    </row>
    <row r="26">
      <c r="A26" t="inlineStr">
        <is>
          <t>Barang_Terhutang</t>
        </is>
      </c>
      <c r="B26" t="inlineStr">
        <is>
          <t>Pelunasan 1 Transaksi Terpilih</t>
        </is>
      </c>
      <c r="C26" t="inlineStr">
        <is>
          <t>Kak Yudi</t>
        </is>
      </c>
      <c r="D26" t="n">
        <v>5000</v>
      </c>
      <c r="E26" t="inlineStr">
        <is>
          <t>2026-05-11</t>
        </is>
      </c>
    </row>
    <row r="27">
      <c r="A27" t="inlineStr">
        <is>
          <t>Modal_Hutang</t>
        </is>
      </c>
      <c r="B27" t="inlineStr">
        <is>
          <t>Pelunasan 2 Transaksi Terpilih</t>
        </is>
      </c>
      <c r="C27" t="inlineStr">
        <is>
          <t>Kak Yudi</t>
        </is>
      </c>
      <c r="D27" t="n">
        <v>33518400</v>
      </c>
      <c r="E27" t="inlineStr">
        <is>
          <t>2026-05-11</t>
        </is>
      </c>
    </row>
  </sheetData>
  <conditionalFormatting sqref="C2:C9">
    <cfRule type="cellIs" priority="1" operator="equal" dxfId="2">
      <formula>"Kaji Yudi"</formula>
    </cfRule>
    <cfRule type="cellIs" priority="2" operator="equal" dxfId="1">
      <formula>"Kak Yudi"</formula>
    </cfRule>
    <cfRule type="cellIs" priority="3" operator="equal" dxfId="0">
      <formula>"Kak Hari"</formula>
    </cfRule>
  </conditionalFormatting>
  <pageMargins left="0.75" right="0.75" top="1" bottom="1" header="0.5" footer="0.5"/>
  <pageSetup orientation="portrait" paperSize="259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Bang Bokir</dc:creator>
  <dcterms:created xsi:type="dcterms:W3CDTF">2026-04-11T02:19:35Z</dcterms:created>
  <dcterms:modified xsi:type="dcterms:W3CDTF">2026-05-11T03:38:03Z</dcterms:modified>
  <cp:lastModifiedBy>Bang Bokir</cp:lastModifiedBy>
</cp:coreProperties>
</file>